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h/coastland/alaska-salmon-reports/TBR/"/>
    </mc:Choice>
  </mc:AlternateContent>
  <xr:revisionPtr revIDLastSave="0" documentId="8_{AC945FF1-0788-DE42-9547-62A43C053048}" xr6:coauthVersionLast="47" xr6:coauthVersionMax="47" xr10:uidLastSave="{00000000-0000-0000-0000-000000000000}"/>
  <bookViews>
    <workbookView xWindow="4760" yWindow="500" windowWidth="24700" windowHeight="16140" activeTab="6" xr2:uid="{4242C904-F905-416D-8DC3-5684C10FD238}"/>
  </bookViews>
  <sheets>
    <sheet name="stikine CN RR" sheetId="1" r:id="rId1"/>
    <sheet name="stikine CN D108 catch" sheetId="2" r:id="rId2"/>
    <sheet name="stikine CN D108 prop" sheetId="3" r:id="rId3"/>
    <sheet name="B1 106 harvest" sheetId="4" r:id="rId4"/>
    <sheet name="B2 108 harvest" sheetId="5" r:id="rId5"/>
    <sheet name="B21 Stikine SX" sheetId="19" r:id="rId6"/>
    <sheet name="D108 D111 CN GSI 15 16 17" sheetId="7" r:id="rId7"/>
    <sheet name="D5 Taku CN RR" sheetId="9" r:id="rId8"/>
    <sheet name="G1 G2 G4 CN GSI D108 D111" sheetId="8" r:id="rId9"/>
    <sheet name="D1 111 harvest" sheetId="6" r:id="rId10"/>
    <sheet name="D20 Taku CO" sheetId="10" r:id="rId11"/>
    <sheet name="D19 D111 CO Catch" sheetId="11" r:id="rId12"/>
    <sheet name="D7 D111 SX catch" sheetId="13" r:id="rId13"/>
    <sheet name="D15 TAKU SX RR" sheetId="14" r:id="rId14"/>
    <sheet name="D9 D111 SX TAKU GSI" sheetId="12" r:id="rId15"/>
    <sheet name="E4 ALSEK CN" sheetId="15" r:id="rId16"/>
    <sheet name="E9 ALSEK SX" sheetId="16" r:id="rId17"/>
    <sheet name="ALSEK CO PK CM catch" sheetId="18" r:id="rId18"/>
    <sheet name="E14 ALSEK SEAK CO PK CM" sheetId="17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" i="11" l="1"/>
  <c r="E65" i="16"/>
  <c r="E65" i="15"/>
  <c r="F58" i="13"/>
  <c r="F20" i="2"/>
  <c r="F29" i="1"/>
  <c r="M64" i="15"/>
  <c r="E64" i="15"/>
  <c r="E63" i="15"/>
  <c r="E62" i="15"/>
  <c r="L61" i="15"/>
  <c r="E61" i="15"/>
  <c r="L60" i="15"/>
  <c r="E60" i="15"/>
  <c r="L59" i="15"/>
  <c r="E59" i="15"/>
  <c r="L58" i="15"/>
  <c r="E58" i="15"/>
  <c r="L57" i="15"/>
  <c r="E57" i="15"/>
  <c r="L56" i="15"/>
  <c r="E56" i="15"/>
  <c r="L55" i="15"/>
  <c r="E55" i="15"/>
  <c r="L54" i="15"/>
  <c r="E54" i="15"/>
  <c r="L53" i="15"/>
  <c r="E53" i="15"/>
  <c r="L52" i="15"/>
  <c r="E52" i="15"/>
  <c r="L51" i="15"/>
  <c r="E51" i="15"/>
  <c r="L50" i="15"/>
  <c r="E50" i="15"/>
  <c r="L49" i="15"/>
  <c r="E49" i="15"/>
  <c r="L48" i="15"/>
  <c r="E48" i="15"/>
  <c r="L47" i="15"/>
  <c r="E47" i="15"/>
  <c r="M46" i="15"/>
  <c r="L46" i="15"/>
  <c r="E46" i="15"/>
  <c r="N46" i="15" s="1"/>
  <c r="M45" i="15"/>
  <c r="L45" i="15"/>
  <c r="E45" i="15"/>
  <c r="N45" i="15" s="1"/>
  <c r="L44" i="15"/>
  <c r="M44" i="15" s="1"/>
  <c r="E44" i="15"/>
  <c r="N44" i="15" s="1"/>
  <c r="M43" i="15"/>
  <c r="L43" i="15"/>
  <c r="E43" i="15"/>
  <c r="N43" i="15" s="1"/>
  <c r="M42" i="15"/>
  <c r="L42" i="15"/>
  <c r="E42" i="15"/>
  <c r="N42" i="15" s="1"/>
  <c r="L41" i="15"/>
  <c r="M41" i="15" s="1"/>
  <c r="E41" i="15"/>
  <c r="N41" i="15" s="1"/>
  <c r="M40" i="15"/>
  <c r="L40" i="15"/>
  <c r="E40" i="15"/>
  <c r="N40" i="15" s="1"/>
  <c r="L39" i="15"/>
  <c r="E39" i="15"/>
  <c r="L38" i="15"/>
  <c r="E38" i="15"/>
  <c r="L37" i="15"/>
  <c r="E37" i="15"/>
  <c r="L36" i="15"/>
  <c r="E36" i="15"/>
  <c r="L35" i="15"/>
  <c r="E35" i="15"/>
  <c r="L34" i="15"/>
  <c r="E34" i="15"/>
  <c r="L33" i="15"/>
  <c r="E33" i="15"/>
  <c r="L32" i="15"/>
  <c r="E32" i="15"/>
  <c r="L31" i="15"/>
  <c r="E31" i="15"/>
  <c r="L30" i="15"/>
  <c r="E30" i="15"/>
  <c r="L29" i="15"/>
  <c r="E29" i="15"/>
  <c r="L28" i="15"/>
  <c r="E28" i="15"/>
  <c r="L27" i="15"/>
  <c r="E27" i="15"/>
  <c r="L26" i="15"/>
  <c r="E26" i="15"/>
  <c r="L25" i="15"/>
  <c r="E25" i="15"/>
  <c r="L24" i="15"/>
  <c r="E24" i="15"/>
  <c r="L23" i="15"/>
  <c r="E23" i="15"/>
  <c r="L22" i="15"/>
  <c r="E22" i="15"/>
  <c r="L21" i="15"/>
  <c r="E21" i="15"/>
  <c r="L20" i="15"/>
  <c r="E20" i="15"/>
  <c r="L19" i="15"/>
  <c r="E19" i="15"/>
  <c r="L18" i="15"/>
  <c r="E18" i="15"/>
  <c r="E17" i="15"/>
  <c r="E16" i="15"/>
  <c r="E15" i="15"/>
  <c r="E14" i="15"/>
  <c r="E13" i="15"/>
  <c r="E12" i="15"/>
  <c r="E11" i="15"/>
  <c r="E10" i="15"/>
  <c r="E9" i="15"/>
  <c r="E8" i="15"/>
  <c r="E7" i="15"/>
  <c r="E6" i="15"/>
  <c r="E5" i="15"/>
  <c r="E3" i="15"/>
  <c r="E64" i="16"/>
  <c r="E63" i="16"/>
  <c r="E62" i="16"/>
  <c r="E61" i="16"/>
  <c r="E60" i="16"/>
  <c r="F57" i="13"/>
  <c r="F56" i="13"/>
  <c r="F55" i="13"/>
  <c r="F54" i="13"/>
  <c r="F53" i="13"/>
  <c r="E32" i="11"/>
  <c r="E31" i="11"/>
  <c r="E30" i="11"/>
  <c r="E29" i="11"/>
  <c r="E28" i="11"/>
  <c r="E27" i="11"/>
  <c r="E26" i="11"/>
  <c r="F19" i="2"/>
  <c r="F18" i="2"/>
  <c r="F17" i="2"/>
  <c r="F16" i="2"/>
  <c r="F15" i="2"/>
  <c r="F28" i="1"/>
  <c r="F27" i="1"/>
  <c r="F26" i="1"/>
  <c r="F25" i="1"/>
  <c r="D25" i="1"/>
  <c r="D24" i="1"/>
  <c r="F24" i="1" s="1"/>
  <c r="E5" i="16"/>
  <c r="E6" i="16"/>
  <c r="E7" i="16"/>
  <c r="E8" i="16"/>
  <c r="E9" i="16"/>
  <c r="E10" i="16"/>
  <c r="E11" i="16"/>
  <c r="E12" i="16"/>
  <c r="E13" i="16"/>
  <c r="E14" i="16"/>
  <c r="E15" i="16"/>
  <c r="E16" i="16"/>
  <c r="E17" i="16"/>
  <c r="E18" i="16"/>
  <c r="E19" i="16"/>
  <c r="E20" i="16"/>
  <c r="E21" i="16"/>
  <c r="E22" i="16"/>
  <c r="E23" i="16"/>
  <c r="E24" i="16"/>
  <c r="E25" i="16"/>
  <c r="E26" i="16"/>
  <c r="E27" i="16"/>
  <c r="E28" i="16"/>
  <c r="E29" i="16"/>
  <c r="E30" i="16"/>
  <c r="E31" i="16"/>
  <c r="E32" i="16"/>
  <c r="E33" i="16"/>
  <c r="E34" i="16"/>
  <c r="E35" i="16"/>
  <c r="E36" i="16"/>
  <c r="E37" i="16"/>
  <c r="E38" i="16"/>
  <c r="E39" i="16"/>
  <c r="E40" i="16"/>
  <c r="E41" i="16"/>
  <c r="E42" i="16"/>
  <c r="E43" i="16"/>
  <c r="E44" i="16"/>
  <c r="E45" i="16"/>
  <c r="E46" i="16"/>
  <c r="E47" i="16"/>
  <c r="E48" i="16"/>
  <c r="E49" i="16"/>
  <c r="E50" i="16"/>
  <c r="E51" i="16"/>
  <c r="E52" i="16"/>
  <c r="E53" i="16"/>
  <c r="E54" i="16"/>
  <c r="E55" i="16"/>
  <c r="E56" i="16"/>
  <c r="E57" i="16"/>
  <c r="E58" i="16"/>
  <c r="E59" i="16"/>
  <c r="E3" i="16"/>
  <c r="F3" i="13"/>
  <c r="F4" i="13"/>
  <c r="F5" i="13"/>
  <c r="F6" i="13"/>
  <c r="F7" i="13"/>
  <c r="F8" i="13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F34" i="13"/>
  <c r="F35" i="13"/>
  <c r="F36" i="13"/>
  <c r="F37" i="13"/>
  <c r="F38" i="13"/>
  <c r="F39" i="13"/>
  <c r="F40" i="13"/>
  <c r="F41" i="13"/>
  <c r="F42" i="13"/>
  <c r="F43" i="13"/>
  <c r="F44" i="13"/>
  <c r="F45" i="13"/>
  <c r="F46" i="13"/>
  <c r="F47" i="13"/>
  <c r="F48" i="13"/>
  <c r="F49" i="13"/>
  <c r="F50" i="13"/>
  <c r="F51" i="13"/>
  <c r="F52" i="13"/>
  <c r="F2" i="13"/>
  <c r="E25" i="11" l="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E10" i="11"/>
  <c r="E9" i="11"/>
  <c r="E8" i="11"/>
  <c r="E7" i="11"/>
  <c r="E6" i="11"/>
  <c r="E5" i="11"/>
  <c r="E4" i="11"/>
  <c r="E3" i="11"/>
  <c r="E2" i="11"/>
  <c r="F3" i="2" l="1"/>
  <c r="F4" i="2"/>
  <c r="F5" i="2"/>
  <c r="F6" i="2"/>
  <c r="F7" i="2"/>
  <c r="F8" i="2"/>
  <c r="F9" i="2"/>
  <c r="F10" i="2"/>
  <c r="F11" i="2"/>
  <c r="F12" i="2"/>
  <c r="F13" i="2"/>
  <c r="F14" i="2"/>
  <c r="F2" i="2"/>
  <c r="D3" i="1"/>
  <c r="D4" i="1"/>
  <c r="D5" i="1"/>
  <c r="D6" i="1"/>
  <c r="D7" i="1"/>
  <c r="D8" i="1"/>
  <c r="F8" i="1" s="1"/>
  <c r="D9" i="1"/>
  <c r="F9" i="1" s="1"/>
  <c r="D10" i="1"/>
  <c r="F10" i="1" s="1"/>
  <c r="D11" i="1"/>
  <c r="F11" i="1" s="1"/>
  <c r="D12" i="1"/>
  <c r="F12" i="1" s="1"/>
  <c r="D13" i="1"/>
  <c r="F13" i="1" s="1"/>
  <c r="D14" i="1"/>
  <c r="F14" i="1" s="1"/>
  <c r="D15" i="1"/>
  <c r="F15" i="1" s="1"/>
  <c r="D16" i="1"/>
  <c r="F16" i="1" s="1"/>
  <c r="D17" i="1"/>
  <c r="F17" i="1" s="1"/>
  <c r="D18" i="1"/>
  <c r="F18" i="1" s="1"/>
  <c r="D19" i="1"/>
  <c r="F19" i="1" s="1"/>
  <c r="D20" i="1"/>
  <c r="F20" i="1" s="1"/>
  <c r="D21" i="1"/>
  <c r="F21" i="1" s="1"/>
  <c r="D22" i="1"/>
  <c r="F22" i="1" s="1"/>
  <c r="D23" i="1"/>
  <c r="F23" i="1" s="1"/>
  <c r="D2" i="1"/>
</calcChain>
</file>

<file path=xl/sharedStrings.xml><?xml version="1.0" encoding="utf-8"?>
<sst xmlns="http://schemas.openxmlformats.org/spreadsheetml/2006/main" count="167" uniqueCount="76">
  <si>
    <t>year</t>
  </si>
  <si>
    <t>escapement</t>
  </si>
  <si>
    <t>harv.cdn</t>
  </si>
  <si>
    <t>above.border</t>
  </si>
  <si>
    <t>harv.us</t>
  </si>
  <si>
    <t>term.run</t>
  </si>
  <si>
    <t>subsistence</t>
  </si>
  <si>
    <t>sport</t>
  </si>
  <si>
    <t>gillnet</t>
  </si>
  <si>
    <t>troll</t>
  </si>
  <si>
    <t>total</t>
  </si>
  <si>
    <t>Pink</t>
  </si>
  <si>
    <t>Chum</t>
  </si>
  <si>
    <t>Chinook</t>
  </si>
  <si>
    <t>Sockeye</t>
  </si>
  <si>
    <t>Coho</t>
  </si>
  <si>
    <t>stock</t>
  </si>
  <si>
    <t>fishery</t>
  </si>
  <si>
    <t>mean</t>
  </si>
  <si>
    <t>sd</t>
  </si>
  <si>
    <t>lo</t>
  </si>
  <si>
    <t>hi</t>
  </si>
  <si>
    <t>taku</t>
  </si>
  <si>
    <t>district</t>
  </si>
  <si>
    <t>stikine</t>
  </si>
  <si>
    <t>Gillnet</t>
  </si>
  <si>
    <t>Sport</t>
  </si>
  <si>
    <t>Troll</t>
  </si>
  <si>
    <t>D111.Sport</t>
  </si>
  <si>
    <t>D111.Gillnet</t>
  </si>
  <si>
    <t>D108.Sport</t>
  </si>
  <si>
    <t>D108.Gillnet</t>
  </si>
  <si>
    <t>ci_lower</t>
  </si>
  <si>
    <t>ci_upper</t>
  </si>
  <si>
    <t>cdn_harvest</t>
  </si>
  <si>
    <t>run_estimate_aboveborder</t>
  </si>
  <si>
    <t>us_harvest</t>
  </si>
  <si>
    <t>terminal_run</t>
  </si>
  <si>
    <t>estimate_above_border</t>
  </si>
  <si>
    <t>expansion_factor</t>
  </si>
  <si>
    <t>expanded_estimate</t>
  </si>
  <si>
    <t>us_harvest_tr</t>
  </si>
  <si>
    <t>tr_harvest_rate</t>
  </si>
  <si>
    <t>total_run</t>
  </si>
  <si>
    <t>Personal.Use</t>
  </si>
  <si>
    <t>Seine</t>
  </si>
  <si>
    <t>Gillnet.Wild</t>
  </si>
  <si>
    <t>Gillnet.Enhanced</t>
  </si>
  <si>
    <t>Total.Gillnet</t>
  </si>
  <si>
    <t>total_harvest_rate</t>
  </si>
  <si>
    <t>Year</t>
  </si>
  <si>
    <t>US.Commercial</t>
  </si>
  <si>
    <t>US.Test</t>
  </si>
  <si>
    <t>US.Subsistence</t>
  </si>
  <si>
    <t>Klukshu.counts</t>
  </si>
  <si>
    <t>CDN.run</t>
  </si>
  <si>
    <t>CDN.run.low</t>
  </si>
  <si>
    <t>CDN.run.high</t>
  </si>
  <si>
    <t>CDN.FN</t>
  </si>
  <si>
    <t>CDN.total</t>
  </si>
  <si>
    <t>US.total</t>
  </si>
  <si>
    <t>US.HR</t>
  </si>
  <si>
    <t>CDN.HR</t>
  </si>
  <si>
    <t>CDN.Sport</t>
  </si>
  <si>
    <t>estimate</t>
  </si>
  <si>
    <t>ci.lower</t>
  </si>
  <si>
    <t>ci.upper</t>
  </si>
  <si>
    <t>canadian.harvest</t>
  </si>
  <si>
    <t>spawning.esc</t>
  </si>
  <si>
    <t>us.harvest</t>
  </si>
  <si>
    <t>total.inriver.run</t>
  </si>
  <si>
    <t>spw.esc.percent.klukshu</t>
  </si>
  <si>
    <t xml:space="preserve">Pink </t>
  </si>
  <si>
    <t>Coho.subsistence</t>
  </si>
  <si>
    <t>Effort</t>
  </si>
  <si>
    <t>above_border_run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</si>
</sst>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0" xfId="0" applyNumberFormat="1"/>
    <xf numFmtId="1" fontId="1" fillId="0" borderId="0" xfId="0" applyNumberFormat="1" applyFont="1"/>
    <xf numFmtId="10" fontId="0" fillId="0" borderId="0" xfId="0" applyNumberFormat="1"/>
    <xf numFmtId="3" fontId="0" fillId="0" borderId="0" xfId="0" applyNumberFormat="1"/>
    <xf numFmtId="0" fontId="0" fillId="2" borderId="0" xfId="0" applyFill="1"/>
    <xf numFmtId="0" fontId="0" fillId="0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4029D-736C-46AB-9D6B-979FD4F82A8C}">
  <dimension ref="A1:F29"/>
  <sheetViews>
    <sheetView workbookViewId="0">
      <selection activeCell="F21" sqref="F21"/>
    </sheetView>
  </sheetViews>
  <sheetFormatPr baseColWidth="10" defaultColWidth="8.83203125" defaultRowHeight="15" x14ac:dyDescent="0.2"/>
  <cols>
    <col min="2" max="2" width="13.33203125" customWidth="1"/>
    <col min="3" max="3" width="12.5" customWidth="1"/>
    <col min="4" max="4" width="14.1640625" customWidth="1"/>
    <col min="5" max="5" width="11.33203125" customWidth="1"/>
    <col min="6" max="6" width="10.332031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1996</v>
      </c>
      <c r="B2">
        <v>28787</v>
      </c>
      <c r="C2">
        <v>2931</v>
      </c>
      <c r="D2">
        <f>B2+C2</f>
        <v>31718</v>
      </c>
    </row>
    <row r="3" spans="1:6" x14ac:dyDescent="0.2">
      <c r="A3">
        <v>1997</v>
      </c>
      <c r="B3">
        <v>26808</v>
      </c>
      <c r="C3">
        <v>4701</v>
      </c>
      <c r="D3">
        <f t="shared" ref="D3:D25" si="0">B3+C3</f>
        <v>31509</v>
      </c>
    </row>
    <row r="4" spans="1:6" x14ac:dyDescent="0.2">
      <c r="A4">
        <v>1998</v>
      </c>
      <c r="B4">
        <v>25779</v>
      </c>
      <c r="C4">
        <v>2354</v>
      </c>
      <c r="D4">
        <f t="shared" si="0"/>
        <v>28133</v>
      </c>
    </row>
    <row r="5" spans="1:6" x14ac:dyDescent="0.2">
      <c r="A5">
        <v>1999</v>
      </c>
      <c r="B5">
        <v>19781</v>
      </c>
      <c r="C5">
        <v>32935</v>
      </c>
      <c r="D5">
        <f t="shared" si="0"/>
        <v>52716</v>
      </c>
    </row>
    <row r="6" spans="1:6" x14ac:dyDescent="0.2">
      <c r="A6">
        <v>2000</v>
      </c>
      <c r="B6">
        <v>26056</v>
      </c>
      <c r="C6">
        <v>4245</v>
      </c>
      <c r="D6">
        <f t="shared" si="0"/>
        <v>30301</v>
      </c>
    </row>
    <row r="7" spans="1:6" x14ac:dyDescent="0.2">
      <c r="A7">
        <v>2001</v>
      </c>
      <c r="B7">
        <v>63129</v>
      </c>
      <c r="C7">
        <v>3517</v>
      </c>
      <c r="D7">
        <f t="shared" si="0"/>
        <v>66646</v>
      </c>
    </row>
    <row r="8" spans="1:6" x14ac:dyDescent="0.2">
      <c r="A8">
        <v>2002</v>
      </c>
      <c r="B8">
        <v>50455</v>
      </c>
      <c r="C8">
        <v>3438</v>
      </c>
      <c r="D8">
        <f t="shared" si="0"/>
        <v>53893</v>
      </c>
      <c r="E8">
        <v>3587</v>
      </c>
      <c r="F8">
        <f>E8+D8</f>
        <v>57480</v>
      </c>
    </row>
    <row r="9" spans="1:6" x14ac:dyDescent="0.2">
      <c r="A9">
        <v>2003</v>
      </c>
      <c r="B9">
        <v>47015</v>
      </c>
      <c r="C9">
        <v>2866</v>
      </c>
      <c r="D9">
        <f t="shared" si="0"/>
        <v>49881</v>
      </c>
      <c r="E9">
        <v>3895</v>
      </c>
      <c r="F9">
        <f t="shared" ref="F9:F29" si="1">E9+D9</f>
        <v>53776</v>
      </c>
    </row>
    <row r="10" spans="1:6" x14ac:dyDescent="0.2">
      <c r="A10">
        <v>2004</v>
      </c>
      <c r="B10">
        <v>48490</v>
      </c>
      <c r="C10">
        <v>4048</v>
      </c>
      <c r="D10">
        <f t="shared" si="0"/>
        <v>52538</v>
      </c>
      <c r="E10">
        <v>9599</v>
      </c>
      <c r="F10">
        <f t="shared" si="1"/>
        <v>62137</v>
      </c>
    </row>
    <row r="11" spans="1:6" x14ac:dyDescent="0.2">
      <c r="A11">
        <v>2005</v>
      </c>
      <c r="B11">
        <v>39836</v>
      </c>
      <c r="C11">
        <v>20049</v>
      </c>
      <c r="D11">
        <f t="shared" si="0"/>
        <v>59885</v>
      </c>
      <c r="E11">
        <v>27882</v>
      </c>
      <c r="F11">
        <f t="shared" si="1"/>
        <v>87767</v>
      </c>
    </row>
    <row r="12" spans="1:6" x14ac:dyDescent="0.2">
      <c r="A12">
        <v>2006</v>
      </c>
      <c r="B12">
        <v>24405</v>
      </c>
      <c r="C12">
        <v>15776</v>
      </c>
      <c r="D12">
        <f t="shared" si="0"/>
        <v>40181</v>
      </c>
      <c r="E12">
        <v>22060</v>
      </c>
      <c r="F12">
        <f t="shared" si="1"/>
        <v>62241</v>
      </c>
    </row>
    <row r="13" spans="1:6" x14ac:dyDescent="0.2">
      <c r="A13">
        <v>2007</v>
      </c>
      <c r="B13">
        <v>14559</v>
      </c>
      <c r="C13">
        <v>10510</v>
      </c>
      <c r="D13">
        <f t="shared" si="0"/>
        <v>25069</v>
      </c>
      <c r="E13">
        <v>10885</v>
      </c>
      <c r="F13">
        <f t="shared" si="1"/>
        <v>35954</v>
      </c>
    </row>
    <row r="14" spans="1:6" x14ac:dyDescent="0.2">
      <c r="A14">
        <v>2008</v>
      </c>
      <c r="B14">
        <v>18352</v>
      </c>
      <c r="C14">
        <v>7932</v>
      </c>
      <c r="D14">
        <f t="shared" si="0"/>
        <v>26284</v>
      </c>
      <c r="E14">
        <v>7335</v>
      </c>
      <c r="F14">
        <f t="shared" si="1"/>
        <v>33619</v>
      </c>
    </row>
    <row r="15" spans="1:6" x14ac:dyDescent="0.2">
      <c r="A15">
        <v>2009</v>
      </c>
      <c r="B15">
        <v>12972</v>
      </c>
      <c r="C15">
        <v>2146</v>
      </c>
      <c r="D15">
        <f t="shared" si="0"/>
        <v>15118</v>
      </c>
      <c r="E15">
        <v>1350</v>
      </c>
      <c r="F15">
        <f t="shared" si="1"/>
        <v>16468</v>
      </c>
    </row>
    <row r="16" spans="1:6" x14ac:dyDescent="0.2">
      <c r="A16">
        <v>2010</v>
      </c>
      <c r="B16">
        <v>15148</v>
      </c>
      <c r="C16">
        <v>3164</v>
      </c>
      <c r="D16">
        <f t="shared" si="0"/>
        <v>18312</v>
      </c>
      <c r="E16">
        <v>1303</v>
      </c>
      <c r="F16">
        <f t="shared" si="1"/>
        <v>19615</v>
      </c>
    </row>
    <row r="17" spans="1:6" x14ac:dyDescent="0.2">
      <c r="A17">
        <v>2011</v>
      </c>
      <c r="B17">
        <v>14511</v>
      </c>
      <c r="C17">
        <v>3141</v>
      </c>
      <c r="D17">
        <f t="shared" si="0"/>
        <v>17652</v>
      </c>
      <c r="E17">
        <v>2142</v>
      </c>
      <c r="F17">
        <f t="shared" si="1"/>
        <v>19794</v>
      </c>
    </row>
    <row r="18" spans="1:6" x14ac:dyDescent="0.2">
      <c r="A18">
        <v>2012</v>
      </c>
      <c r="B18">
        <v>22332</v>
      </c>
      <c r="C18">
        <v>5210</v>
      </c>
      <c r="D18">
        <f t="shared" si="0"/>
        <v>27542</v>
      </c>
      <c r="E18">
        <v>2353</v>
      </c>
      <c r="F18">
        <f t="shared" si="1"/>
        <v>29895</v>
      </c>
    </row>
    <row r="19" spans="1:6" x14ac:dyDescent="0.2">
      <c r="A19">
        <v>2013</v>
      </c>
      <c r="B19">
        <v>16784</v>
      </c>
      <c r="C19">
        <v>3370</v>
      </c>
      <c r="D19">
        <f t="shared" si="0"/>
        <v>20154</v>
      </c>
      <c r="E19">
        <v>1566</v>
      </c>
      <c r="F19">
        <f t="shared" si="1"/>
        <v>21720</v>
      </c>
    </row>
    <row r="20" spans="1:6" x14ac:dyDescent="0.2">
      <c r="A20">
        <v>2014</v>
      </c>
      <c r="B20">
        <v>24374</v>
      </c>
      <c r="C20">
        <v>3327</v>
      </c>
      <c r="D20">
        <f t="shared" si="0"/>
        <v>27701</v>
      </c>
      <c r="E20">
        <v>1622</v>
      </c>
      <c r="F20">
        <f t="shared" si="1"/>
        <v>29323</v>
      </c>
    </row>
    <row r="21" spans="1:6" x14ac:dyDescent="0.2">
      <c r="A21">
        <v>2015</v>
      </c>
      <c r="B21">
        <v>21597</v>
      </c>
      <c r="C21">
        <v>4258</v>
      </c>
      <c r="D21">
        <f t="shared" si="0"/>
        <v>25855</v>
      </c>
      <c r="E21">
        <v>1500</v>
      </c>
      <c r="F21">
        <f t="shared" si="1"/>
        <v>27355</v>
      </c>
    </row>
    <row r="22" spans="1:6" x14ac:dyDescent="0.2">
      <c r="A22">
        <v>2016</v>
      </c>
      <c r="B22">
        <v>10554</v>
      </c>
      <c r="C22">
        <v>3235</v>
      </c>
      <c r="D22">
        <f t="shared" si="0"/>
        <v>13789</v>
      </c>
      <c r="E22">
        <v>1707</v>
      </c>
      <c r="F22">
        <f t="shared" si="1"/>
        <v>15496</v>
      </c>
    </row>
    <row r="23" spans="1:6" x14ac:dyDescent="0.2">
      <c r="A23">
        <v>2017</v>
      </c>
      <c r="B23">
        <v>7335</v>
      </c>
      <c r="C23">
        <v>603</v>
      </c>
      <c r="D23">
        <f t="shared" si="0"/>
        <v>7938</v>
      </c>
      <c r="E23">
        <v>207</v>
      </c>
      <c r="F23">
        <f t="shared" si="1"/>
        <v>8145</v>
      </c>
    </row>
    <row r="24" spans="1:6" x14ac:dyDescent="0.2">
      <c r="A24">
        <v>2018</v>
      </c>
      <c r="B24">
        <v>8603</v>
      </c>
      <c r="C24">
        <v>165</v>
      </c>
      <c r="D24">
        <f t="shared" si="0"/>
        <v>8768</v>
      </c>
      <c r="E24">
        <v>39</v>
      </c>
      <c r="F24">
        <f t="shared" si="1"/>
        <v>8807</v>
      </c>
    </row>
    <row r="25" spans="1:6" x14ac:dyDescent="0.2">
      <c r="A25">
        <v>2019</v>
      </c>
      <c r="B25">
        <v>13817</v>
      </c>
      <c r="C25">
        <v>333</v>
      </c>
      <c r="D25">
        <f t="shared" si="0"/>
        <v>14150</v>
      </c>
      <c r="E25">
        <v>133</v>
      </c>
      <c r="F25">
        <f t="shared" si="1"/>
        <v>14283</v>
      </c>
    </row>
    <row r="26" spans="1:6" x14ac:dyDescent="0.2">
      <c r="A26">
        <v>2020</v>
      </c>
      <c r="B26" s="1">
        <v>9753</v>
      </c>
      <c r="C26" s="1">
        <v>389</v>
      </c>
      <c r="D26" s="1">
        <v>10142</v>
      </c>
      <c r="E26" s="1">
        <v>161</v>
      </c>
      <c r="F26">
        <f t="shared" si="1"/>
        <v>10303</v>
      </c>
    </row>
    <row r="27" spans="1:6" x14ac:dyDescent="0.2">
      <c r="A27">
        <v>2021</v>
      </c>
      <c r="B27" s="1">
        <v>8376</v>
      </c>
      <c r="C27" s="1">
        <v>182</v>
      </c>
      <c r="D27" s="1">
        <v>8558</v>
      </c>
      <c r="E27" s="1">
        <v>123</v>
      </c>
      <c r="F27">
        <f t="shared" si="1"/>
        <v>8681</v>
      </c>
    </row>
    <row r="28" spans="1:6" x14ac:dyDescent="0.2">
      <c r="A28">
        <v>2022</v>
      </c>
      <c r="B28" s="1">
        <v>9090</v>
      </c>
      <c r="C28" s="1">
        <v>269</v>
      </c>
      <c r="D28" s="1">
        <v>9359</v>
      </c>
      <c r="E28" s="1">
        <v>62</v>
      </c>
      <c r="F28">
        <f t="shared" si="1"/>
        <v>9421</v>
      </c>
    </row>
    <row r="29" spans="1:6" x14ac:dyDescent="0.2">
      <c r="A29">
        <v>2023</v>
      </c>
      <c r="B29" s="1">
        <v>12795</v>
      </c>
      <c r="C29" s="1">
        <v>69</v>
      </c>
      <c r="D29" s="1">
        <v>12864</v>
      </c>
      <c r="E29" s="1">
        <v>73</v>
      </c>
      <c r="F29">
        <f t="shared" si="1"/>
        <v>12937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6A7C9-CA21-43A3-A948-81D65C4A885F}">
  <dimension ref="A1:F20"/>
  <sheetViews>
    <sheetView workbookViewId="0">
      <selection activeCell="D15" sqref="D15"/>
    </sheetView>
  </sheetViews>
  <sheetFormatPr baseColWidth="10" defaultColWidth="8.83203125" defaultRowHeight="15" x14ac:dyDescent="0.2"/>
  <sheetData>
    <row r="1" spans="1:6" x14ac:dyDescent="0.2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6" x14ac:dyDescent="0.2">
      <c r="A2">
        <v>2005</v>
      </c>
      <c r="B2">
        <v>15</v>
      </c>
      <c r="C2">
        <v>3665</v>
      </c>
      <c r="D2">
        <v>21233</v>
      </c>
      <c r="E2">
        <v>2969</v>
      </c>
      <c r="F2">
        <f>SUM(B2:E2)</f>
        <v>27882</v>
      </c>
    </row>
    <row r="3" spans="1:6" x14ac:dyDescent="0.2">
      <c r="A3">
        <v>2006</v>
      </c>
      <c r="B3">
        <v>37</v>
      </c>
      <c r="C3">
        <v>3346</v>
      </c>
      <c r="D3">
        <v>17259</v>
      </c>
      <c r="E3">
        <v>1418</v>
      </c>
      <c r="F3">
        <f t="shared" ref="F3:F20" si="0">SUM(B3:E3)</f>
        <v>22060</v>
      </c>
    </row>
    <row r="4" spans="1:6" x14ac:dyDescent="0.2">
      <c r="A4">
        <v>2007</v>
      </c>
      <c r="B4">
        <v>36</v>
      </c>
      <c r="C4">
        <v>2218</v>
      </c>
      <c r="D4">
        <v>7057</v>
      </c>
      <c r="E4">
        <v>1574</v>
      </c>
      <c r="F4">
        <f t="shared" si="0"/>
        <v>10885</v>
      </c>
    </row>
    <row r="5" spans="1:6" x14ac:dyDescent="0.2">
      <c r="A5">
        <v>2008</v>
      </c>
      <c r="B5">
        <v>26</v>
      </c>
      <c r="C5">
        <v>1453</v>
      </c>
      <c r="D5">
        <v>4905</v>
      </c>
      <c r="E5">
        <v>951</v>
      </c>
      <c r="F5">
        <f t="shared" si="0"/>
        <v>7335</v>
      </c>
    </row>
    <row r="6" spans="1:6" x14ac:dyDescent="0.2">
      <c r="A6">
        <v>2009</v>
      </c>
      <c r="B6">
        <v>31</v>
      </c>
      <c r="C6">
        <v>887</v>
      </c>
      <c r="D6">
        <v>244</v>
      </c>
      <c r="E6">
        <v>188</v>
      </c>
      <c r="F6">
        <f t="shared" si="0"/>
        <v>1350</v>
      </c>
    </row>
    <row r="7" spans="1:6" x14ac:dyDescent="0.2">
      <c r="A7">
        <v>2010</v>
      </c>
      <c r="B7">
        <v>53</v>
      </c>
      <c r="C7">
        <v>586</v>
      </c>
      <c r="D7">
        <v>238</v>
      </c>
      <c r="E7">
        <v>427</v>
      </c>
      <c r="F7">
        <f t="shared" si="0"/>
        <v>1304</v>
      </c>
    </row>
    <row r="8" spans="1:6" x14ac:dyDescent="0.2">
      <c r="A8">
        <v>2011</v>
      </c>
      <c r="B8">
        <v>61</v>
      </c>
      <c r="C8">
        <v>648</v>
      </c>
      <c r="D8">
        <v>970</v>
      </c>
      <c r="E8">
        <v>463</v>
      </c>
      <c r="F8">
        <f t="shared" si="0"/>
        <v>2142</v>
      </c>
    </row>
    <row r="9" spans="1:6" x14ac:dyDescent="0.2">
      <c r="A9">
        <v>2012</v>
      </c>
      <c r="B9">
        <v>46</v>
      </c>
      <c r="C9">
        <v>591</v>
      </c>
      <c r="D9">
        <v>1209</v>
      </c>
      <c r="E9">
        <v>506</v>
      </c>
      <c r="F9">
        <f t="shared" si="0"/>
        <v>2352</v>
      </c>
    </row>
    <row r="10" spans="1:6" x14ac:dyDescent="0.2">
      <c r="A10">
        <v>2013</v>
      </c>
      <c r="B10">
        <v>41</v>
      </c>
      <c r="C10">
        <v>636</v>
      </c>
      <c r="D10">
        <v>455</v>
      </c>
      <c r="E10">
        <v>434</v>
      </c>
      <c r="F10">
        <f t="shared" si="0"/>
        <v>1566</v>
      </c>
    </row>
    <row r="11" spans="1:6" x14ac:dyDescent="0.2">
      <c r="A11">
        <v>2014</v>
      </c>
      <c r="B11">
        <v>44</v>
      </c>
      <c r="C11">
        <v>697</v>
      </c>
      <c r="D11">
        <v>204</v>
      </c>
      <c r="E11">
        <v>677</v>
      </c>
      <c r="F11">
        <f t="shared" si="0"/>
        <v>1622</v>
      </c>
    </row>
    <row r="12" spans="1:6" x14ac:dyDescent="0.2">
      <c r="A12">
        <v>2015</v>
      </c>
      <c r="B12">
        <v>34</v>
      </c>
      <c r="C12">
        <v>781</v>
      </c>
      <c r="D12">
        <v>379</v>
      </c>
      <c r="E12">
        <v>306</v>
      </c>
      <c r="F12">
        <f t="shared" si="0"/>
        <v>1500</v>
      </c>
    </row>
    <row r="13" spans="1:6" x14ac:dyDescent="0.2">
      <c r="A13">
        <v>2016</v>
      </c>
      <c r="B13">
        <v>20</v>
      </c>
      <c r="C13">
        <v>438</v>
      </c>
      <c r="D13">
        <v>1060</v>
      </c>
      <c r="E13">
        <v>190</v>
      </c>
      <c r="F13">
        <f t="shared" si="0"/>
        <v>1708</v>
      </c>
    </row>
    <row r="14" spans="1:6" x14ac:dyDescent="0.2">
      <c r="A14">
        <v>2017</v>
      </c>
      <c r="B14">
        <v>14</v>
      </c>
      <c r="C14">
        <v>139</v>
      </c>
      <c r="D14">
        <v>19</v>
      </c>
      <c r="E14">
        <v>35</v>
      </c>
      <c r="F14">
        <f t="shared" si="0"/>
        <v>207</v>
      </c>
    </row>
    <row r="15" spans="1:6" x14ac:dyDescent="0.2">
      <c r="A15">
        <v>2018</v>
      </c>
      <c r="B15">
        <v>22</v>
      </c>
      <c r="C15">
        <v>12</v>
      </c>
      <c r="D15">
        <v>5</v>
      </c>
      <c r="E15">
        <v>0</v>
      </c>
      <c r="F15">
        <f t="shared" si="0"/>
        <v>39</v>
      </c>
    </row>
    <row r="16" spans="1:6" x14ac:dyDescent="0.2">
      <c r="A16">
        <v>2019</v>
      </c>
      <c r="B16">
        <v>19</v>
      </c>
      <c r="C16">
        <v>2</v>
      </c>
      <c r="D16">
        <v>112</v>
      </c>
      <c r="E16">
        <v>0</v>
      </c>
      <c r="F16">
        <f t="shared" si="0"/>
        <v>133</v>
      </c>
    </row>
    <row r="17" spans="1:6" x14ac:dyDescent="0.2">
      <c r="A17">
        <v>2020</v>
      </c>
      <c r="B17">
        <v>6</v>
      </c>
      <c r="C17">
        <v>93</v>
      </c>
      <c r="D17">
        <v>62</v>
      </c>
      <c r="E17">
        <v>0</v>
      </c>
      <c r="F17">
        <f t="shared" si="0"/>
        <v>161</v>
      </c>
    </row>
    <row r="18" spans="1:6" x14ac:dyDescent="0.2">
      <c r="A18">
        <v>2021</v>
      </c>
      <c r="B18">
        <v>35</v>
      </c>
      <c r="C18">
        <v>88</v>
      </c>
      <c r="D18">
        <v>0</v>
      </c>
      <c r="E18">
        <v>0</v>
      </c>
      <c r="F18">
        <f t="shared" si="0"/>
        <v>123</v>
      </c>
    </row>
    <row r="19" spans="1:6" x14ac:dyDescent="0.2">
      <c r="A19">
        <v>2022</v>
      </c>
      <c r="B19">
        <v>25</v>
      </c>
      <c r="C19">
        <v>6</v>
      </c>
      <c r="D19">
        <v>31</v>
      </c>
      <c r="E19">
        <v>0</v>
      </c>
      <c r="F19">
        <f t="shared" si="0"/>
        <v>62</v>
      </c>
    </row>
    <row r="20" spans="1:6" x14ac:dyDescent="0.2">
      <c r="A20">
        <v>2023</v>
      </c>
      <c r="B20">
        <v>15</v>
      </c>
      <c r="C20">
        <v>0</v>
      </c>
      <c r="D20">
        <v>58</v>
      </c>
      <c r="E20">
        <v>0</v>
      </c>
      <c r="F20">
        <f t="shared" si="0"/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8410D-4C10-4813-9941-66FCCD3B4062}">
  <dimension ref="A1:C15"/>
  <sheetViews>
    <sheetView workbookViewId="0">
      <selection activeCell="D5" sqref="D5"/>
    </sheetView>
  </sheetViews>
  <sheetFormatPr baseColWidth="10" defaultColWidth="8.83203125" defaultRowHeight="15" x14ac:dyDescent="0.2"/>
  <sheetData>
    <row r="1" spans="1:3" x14ac:dyDescent="0.2">
      <c r="A1" t="s">
        <v>0</v>
      </c>
      <c r="B1" t="s">
        <v>7</v>
      </c>
      <c r="C1" t="s">
        <v>8</v>
      </c>
    </row>
    <row r="2" spans="1:3" x14ac:dyDescent="0.2">
      <c r="A2">
        <v>2010</v>
      </c>
      <c r="B2">
        <v>0.54600000000000004</v>
      </c>
      <c r="C2">
        <v>0.215</v>
      </c>
    </row>
    <row r="3" spans="1:3" x14ac:dyDescent="0.2">
      <c r="A3">
        <v>2011</v>
      </c>
      <c r="B3">
        <v>0.50900000000000001</v>
      </c>
      <c r="C3">
        <v>0.34599999999999997</v>
      </c>
    </row>
    <row r="4" spans="1:3" x14ac:dyDescent="0.2">
      <c r="A4">
        <v>2012</v>
      </c>
      <c r="B4">
        <v>0.42299999999999999</v>
      </c>
      <c r="C4">
        <v>0.248</v>
      </c>
    </row>
    <row r="5" spans="1:3" x14ac:dyDescent="0.2">
      <c r="A5">
        <v>2013</v>
      </c>
      <c r="B5">
        <v>0.49</v>
      </c>
      <c r="C5">
        <v>6.8000000000000005E-2</v>
      </c>
    </row>
    <row r="6" spans="1:3" x14ac:dyDescent="0.2">
      <c r="A6">
        <v>2014</v>
      </c>
      <c r="B6">
        <v>0.35399999999999998</v>
      </c>
      <c r="C6">
        <v>4.2999999999999997E-2</v>
      </c>
    </row>
    <row r="7" spans="1:3" x14ac:dyDescent="0.2">
      <c r="A7">
        <v>2015</v>
      </c>
      <c r="B7">
        <v>0.44900000000000001</v>
      </c>
      <c r="C7">
        <v>4.7E-2</v>
      </c>
    </row>
    <row r="8" spans="1:3" x14ac:dyDescent="0.2">
      <c r="A8">
        <v>2016</v>
      </c>
      <c r="B8">
        <v>0.30399999999999999</v>
      </c>
      <c r="C8">
        <v>0.22</v>
      </c>
    </row>
    <row r="9" spans="1:3" x14ac:dyDescent="0.2">
      <c r="A9">
        <v>2017</v>
      </c>
      <c r="B9">
        <v>0.21199999999999999</v>
      </c>
      <c r="C9">
        <v>8.0000000000000002E-3</v>
      </c>
    </row>
    <row r="10" spans="1:3" x14ac:dyDescent="0.2">
      <c r="A10">
        <v>2018</v>
      </c>
      <c r="C10">
        <v>6.0000000000000001E-3</v>
      </c>
    </row>
    <row r="11" spans="1:3" x14ac:dyDescent="0.2">
      <c r="A11">
        <v>2019</v>
      </c>
      <c r="B11">
        <v>1.2E-2</v>
      </c>
      <c r="C11">
        <v>4.5999999999999999E-2</v>
      </c>
    </row>
    <row r="12" spans="1:3" x14ac:dyDescent="0.2">
      <c r="A12">
        <v>2020</v>
      </c>
      <c r="C12">
        <v>5.7000000000000002E-2</v>
      </c>
    </row>
    <row r="13" spans="1:3" x14ac:dyDescent="0.2">
      <c r="A13">
        <v>2021</v>
      </c>
    </row>
    <row r="14" spans="1:3" x14ac:dyDescent="0.2">
      <c r="A14">
        <v>2022</v>
      </c>
      <c r="B14">
        <v>3.2000000000000001E-2</v>
      </c>
      <c r="C14">
        <v>0.24399999999999999</v>
      </c>
    </row>
    <row r="15" spans="1:3" x14ac:dyDescent="0.2">
      <c r="A15">
        <v>2023</v>
      </c>
      <c r="B15">
        <v>0</v>
      </c>
      <c r="C15">
        <v>0.308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07141-1939-D24D-A3D6-5221714ABADA}">
  <dimension ref="A1:F65"/>
  <sheetViews>
    <sheetView topLeftCell="A38" workbookViewId="0">
      <selection activeCell="G65" sqref="G65"/>
    </sheetView>
  </sheetViews>
  <sheetFormatPr baseColWidth="10" defaultColWidth="10.83203125" defaultRowHeight="15" x14ac:dyDescent="0.2"/>
  <sheetData>
    <row r="1" spans="1:6" x14ac:dyDescent="0.2">
      <c r="A1" s="1" t="s">
        <v>0</v>
      </c>
      <c r="B1" s="1" t="s">
        <v>13</v>
      </c>
      <c r="C1" s="1" t="s">
        <v>14</v>
      </c>
      <c r="D1" s="1" t="s">
        <v>15</v>
      </c>
      <c r="E1" s="1" t="s">
        <v>11</v>
      </c>
      <c r="F1" s="1" t="s">
        <v>12</v>
      </c>
    </row>
    <row r="2" spans="1:6" x14ac:dyDescent="0.2">
      <c r="A2" s="1">
        <v>1960</v>
      </c>
      <c r="B2" s="1">
        <v>46</v>
      </c>
      <c r="C2" s="1">
        <v>10354</v>
      </c>
      <c r="D2" s="1">
        <v>336</v>
      </c>
      <c r="E2" s="1">
        <v>1246</v>
      </c>
      <c r="F2" s="1">
        <v>502</v>
      </c>
    </row>
    <row r="3" spans="1:6" x14ac:dyDescent="0.2">
      <c r="A3" s="1">
        <v>1961</v>
      </c>
      <c r="B3" s="1">
        <v>416</v>
      </c>
      <c r="C3" s="1">
        <v>20614</v>
      </c>
      <c r="D3" s="1">
        <v>14934</v>
      </c>
      <c r="E3" s="1">
        <v>124236</v>
      </c>
      <c r="F3" s="1">
        <v>64479</v>
      </c>
    </row>
    <row r="4" spans="1:6" x14ac:dyDescent="0.2">
      <c r="A4" s="1">
        <v>1962</v>
      </c>
      <c r="B4" s="1">
        <v>1308</v>
      </c>
      <c r="C4" s="1">
        <v>47033</v>
      </c>
      <c r="D4" s="1">
        <v>42276</v>
      </c>
      <c r="E4" s="1">
        <v>256620</v>
      </c>
      <c r="F4" s="1">
        <v>59119</v>
      </c>
    </row>
    <row r="5" spans="1:6" x14ac:dyDescent="0.2">
      <c r="A5" s="1">
        <v>1963</v>
      </c>
      <c r="B5" s="1">
        <v>1560</v>
      </c>
      <c r="C5" s="1">
        <v>80767</v>
      </c>
      <c r="D5" s="1">
        <v>52103</v>
      </c>
      <c r="E5" s="1">
        <v>514596</v>
      </c>
      <c r="F5" s="1">
        <v>90103</v>
      </c>
    </row>
    <row r="6" spans="1:6" x14ac:dyDescent="0.2">
      <c r="A6" s="1">
        <v>1964</v>
      </c>
      <c r="B6" s="1">
        <v>2082</v>
      </c>
      <c r="C6" s="1">
        <v>76541</v>
      </c>
      <c r="D6" s="1">
        <v>64654</v>
      </c>
      <c r="E6" s="1">
        <v>443086</v>
      </c>
      <c r="F6" s="1">
        <v>44218</v>
      </c>
    </row>
    <row r="7" spans="1:6" x14ac:dyDescent="0.2">
      <c r="A7" s="1">
        <v>1965</v>
      </c>
      <c r="B7" s="1">
        <v>1802</v>
      </c>
      <c r="C7" s="1">
        <v>87749</v>
      </c>
      <c r="D7" s="1">
        <v>75728</v>
      </c>
      <c r="E7" s="1">
        <v>625848</v>
      </c>
      <c r="F7" s="1">
        <v>27658</v>
      </c>
    </row>
    <row r="8" spans="1:6" x14ac:dyDescent="0.2">
      <c r="A8" s="1">
        <v>1966</v>
      </c>
      <c r="B8" s="1">
        <v>1665</v>
      </c>
      <c r="C8" s="1">
        <v>89847</v>
      </c>
      <c r="D8" s="1">
        <v>62823</v>
      </c>
      <c r="E8" s="1">
        <v>400932</v>
      </c>
      <c r="F8" s="1">
        <v>40756</v>
      </c>
    </row>
    <row r="9" spans="1:6" x14ac:dyDescent="0.2">
      <c r="A9" s="1">
        <v>1967</v>
      </c>
      <c r="B9" s="1">
        <v>1318</v>
      </c>
      <c r="C9" s="1">
        <v>86385</v>
      </c>
      <c r="D9" s="1">
        <v>17670</v>
      </c>
      <c r="E9" s="1">
        <v>91609</v>
      </c>
      <c r="F9" s="1">
        <v>26370</v>
      </c>
    </row>
    <row r="10" spans="1:6" x14ac:dyDescent="0.2">
      <c r="A10" s="1">
        <v>1968</v>
      </c>
      <c r="B10" s="1">
        <v>1316</v>
      </c>
      <c r="C10" s="1">
        <v>64671</v>
      </c>
      <c r="D10" s="1">
        <v>67151</v>
      </c>
      <c r="E10" s="1">
        <v>169107</v>
      </c>
      <c r="F10" s="1">
        <v>61366</v>
      </c>
    </row>
    <row r="11" spans="1:6" x14ac:dyDescent="0.2">
      <c r="A11" s="1">
        <v>1969</v>
      </c>
      <c r="B11" s="1">
        <v>877</v>
      </c>
      <c r="C11" s="1">
        <v>70484</v>
      </c>
      <c r="D11" s="1">
        <v>10305</v>
      </c>
      <c r="E11" s="1">
        <v>198785</v>
      </c>
      <c r="F11" s="1">
        <v>10930</v>
      </c>
    </row>
    <row r="12" spans="1:6" x14ac:dyDescent="0.2">
      <c r="A12" s="1">
        <v>1970</v>
      </c>
      <c r="B12" s="1">
        <v>782</v>
      </c>
      <c r="C12" s="1">
        <v>42809</v>
      </c>
      <c r="D12" s="1">
        <v>35188</v>
      </c>
      <c r="E12" s="1">
        <v>95173</v>
      </c>
      <c r="F12" s="1">
        <v>32245</v>
      </c>
    </row>
    <row r="13" spans="1:6" x14ac:dyDescent="0.2">
      <c r="A13" s="1">
        <v>1971</v>
      </c>
      <c r="B13" s="1">
        <v>1336</v>
      </c>
      <c r="C13" s="1">
        <v>53262</v>
      </c>
      <c r="D13" s="1">
        <v>48085</v>
      </c>
      <c r="E13" s="1">
        <v>528737</v>
      </c>
      <c r="F13" s="1">
        <v>37682</v>
      </c>
    </row>
    <row r="14" spans="1:6" x14ac:dyDescent="0.2">
      <c r="A14" s="1">
        <v>1972</v>
      </c>
      <c r="B14" s="1">
        <v>2548</v>
      </c>
      <c r="C14" s="1">
        <v>101958</v>
      </c>
      <c r="D14" s="1">
        <v>92283</v>
      </c>
      <c r="E14" s="1">
        <v>89510</v>
      </c>
      <c r="F14" s="1">
        <v>72389</v>
      </c>
    </row>
    <row r="15" spans="1:6" x14ac:dyDescent="0.2">
      <c r="A15" s="1">
        <v>1973</v>
      </c>
      <c r="B15" s="1">
        <v>1961</v>
      </c>
      <c r="C15" s="1">
        <v>72025</v>
      </c>
      <c r="D15" s="1">
        <v>38447</v>
      </c>
      <c r="E15" s="1">
        <v>304536</v>
      </c>
      <c r="F15" s="1">
        <v>87704</v>
      </c>
    </row>
    <row r="16" spans="1:6" x14ac:dyDescent="0.2">
      <c r="A16" s="1">
        <v>1974</v>
      </c>
      <c r="B16" s="1">
        <v>1929</v>
      </c>
      <c r="C16" s="1">
        <v>57498</v>
      </c>
      <c r="D16" s="1">
        <v>45595</v>
      </c>
      <c r="E16" s="1">
        <v>104596</v>
      </c>
      <c r="F16" s="1">
        <v>50402</v>
      </c>
    </row>
    <row r="17" spans="1:6" x14ac:dyDescent="0.2">
      <c r="A17" s="1">
        <v>1975</v>
      </c>
      <c r="B17" s="1">
        <v>2587</v>
      </c>
      <c r="C17" s="1">
        <v>32099</v>
      </c>
      <c r="D17" s="1">
        <v>30962</v>
      </c>
      <c r="E17" s="1">
        <v>203031</v>
      </c>
      <c r="F17" s="1">
        <v>24047</v>
      </c>
    </row>
    <row r="18" spans="1:6" x14ac:dyDescent="0.2">
      <c r="A18" s="1">
        <v>1976</v>
      </c>
      <c r="B18" s="1">
        <v>386</v>
      </c>
      <c r="C18" s="1">
        <v>15493</v>
      </c>
      <c r="D18" s="1">
        <v>19126</v>
      </c>
      <c r="E18" s="1">
        <v>139641</v>
      </c>
      <c r="F18" s="1">
        <v>6868</v>
      </c>
    </row>
    <row r="19" spans="1:6" x14ac:dyDescent="0.2">
      <c r="A19" s="1">
        <v>1977</v>
      </c>
      <c r="B19" s="1">
        <v>671</v>
      </c>
      <c r="C19" s="1">
        <v>67394</v>
      </c>
      <c r="D19" s="1">
        <v>8389</v>
      </c>
      <c r="E19" s="1">
        <v>422955</v>
      </c>
      <c r="F19" s="1">
        <v>13311</v>
      </c>
    </row>
    <row r="20" spans="1:6" x14ac:dyDescent="0.2">
      <c r="A20" s="1">
        <v>1978</v>
      </c>
      <c r="B20" s="1">
        <v>2682</v>
      </c>
      <c r="C20" s="1">
        <v>41574</v>
      </c>
      <c r="D20" s="1">
        <v>55578</v>
      </c>
      <c r="E20" s="1">
        <v>224715</v>
      </c>
      <c r="F20" s="1">
        <v>16545</v>
      </c>
    </row>
    <row r="21" spans="1:6" x14ac:dyDescent="0.2">
      <c r="A21" s="1">
        <v>1979</v>
      </c>
      <c r="B21" s="1">
        <v>2720</v>
      </c>
      <c r="C21" s="1">
        <v>66373</v>
      </c>
      <c r="D21" s="1">
        <v>31454</v>
      </c>
      <c r="E21" s="1">
        <v>648212</v>
      </c>
      <c r="F21" s="1">
        <v>35507</v>
      </c>
    </row>
    <row r="22" spans="1:6" x14ac:dyDescent="0.2">
      <c r="A22" s="1">
        <v>1980</v>
      </c>
      <c r="B22" s="1">
        <v>580</v>
      </c>
      <c r="C22" s="1">
        <v>107422</v>
      </c>
      <c r="D22" s="1">
        <v>16666</v>
      </c>
      <c r="E22" s="1">
        <v>45662</v>
      </c>
      <c r="F22" s="1">
        <v>26291</v>
      </c>
    </row>
    <row r="23" spans="1:6" x14ac:dyDescent="0.2">
      <c r="A23" s="1">
        <v>1981</v>
      </c>
      <c r="B23" s="1">
        <v>1565</v>
      </c>
      <c r="C23" s="1">
        <v>182001</v>
      </c>
      <c r="D23" s="1">
        <v>22614</v>
      </c>
      <c r="E23" s="1">
        <v>437573</v>
      </c>
      <c r="F23" s="1">
        <v>34296</v>
      </c>
    </row>
    <row r="24" spans="1:6" x14ac:dyDescent="0.2">
      <c r="A24" s="1">
        <v>1982</v>
      </c>
      <c r="B24" s="1">
        <v>1648</v>
      </c>
      <c r="C24" s="1">
        <v>193801</v>
      </c>
      <c r="D24" s="1">
        <v>31584</v>
      </c>
      <c r="E24" s="1">
        <v>25533</v>
      </c>
      <c r="F24" s="1">
        <v>18646</v>
      </c>
    </row>
    <row r="25" spans="1:6" x14ac:dyDescent="0.2">
      <c r="A25" s="1">
        <v>1983</v>
      </c>
      <c r="B25" s="1">
        <v>567</v>
      </c>
      <c r="C25" s="1">
        <v>48842</v>
      </c>
      <c r="D25" s="1">
        <v>62442</v>
      </c>
      <c r="E25" s="1">
        <v>208290</v>
      </c>
      <c r="F25" s="1">
        <v>20144</v>
      </c>
    </row>
    <row r="26" spans="1:6" x14ac:dyDescent="0.2">
      <c r="A26" s="1">
        <v>1984</v>
      </c>
      <c r="B26" s="1">
        <v>892</v>
      </c>
      <c r="C26" s="1">
        <v>91653</v>
      </c>
      <c r="D26" s="1">
        <v>41359</v>
      </c>
      <c r="E26" s="1">
        <v>343255</v>
      </c>
      <c r="F26" s="1">
        <v>70303</v>
      </c>
    </row>
    <row r="27" spans="1:6" x14ac:dyDescent="0.2">
      <c r="A27" s="1">
        <v>1985</v>
      </c>
      <c r="B27" s="1">
        <v>1687</v>
      </c>
      <c r="C27" s="1">
        <v>264987</v>
      </c>
      <c r="D27" s="1">
        <v>91188</v>
      </c>
      <c r="E27" s="1">
        <v>584953</v>
      </c>
      <c r="F27" s="1">
        <v>69673</v>
      </c>
    </row>
    <row r="28" spans="1:6" x14ac:dyDescent="0.2">
      <c r="A28" s="1">
        <v>1986</v>
      </c>
      <c r="B28" s="1">
        <v>1704</v>
      </c>
      <c r="C28" s="1">
        <v>145709</v>
      </c>
      <c r="D28" s="1">
        <v>194912</v>
      </c>
      <c r="E28" s="1">
        <v>308484</v>
      </c>
      <c r="F28" s="1">
        <v>82289</v>
      </c>
    </row>
    <row r="29" spans="1:6" x14ac:dyDescent="0.2">
      <c r="A29" s="1">
        <v>1987</v>
      </c>
      <c r="B29" s="1">
        <v>836</v>
      </c>
      <c r="C29" s="1">
        <v>136427</v>
      </c>
      <c r="D29" s="1">
        <v>34534</v>
      </c>
      <c r="E29" s="1">
        <v>243482</v>
      </c>
      <c r="F29" s="1">
        <v>42025</v>
      </c>
    </row>
    <row r="30" spans="1:6" x14ac:dyDescent="0.2">
      <c r="A30" s="1">
        <v>1988</v>
      </c>
      <c r="B30" s="1">
        <v>1104</v>
      </c>
      <c r="C30" s="1">
        <v>92529</v>
      </c>
      <c r="D30" s="1">
        <v>13103</v>
      </c>
      <c r="E30" s="1">
        <v>69559</v>
      </c>
      <c r="F30" s="1">
        <v>69620</v>
      </c>
    </row>
    <row r="31" spans="1:6" x14ac:dyDescent="0.2">
      <c r="A31" s="1">
        <v>1989</v>
      </c>
      <c r="B31" s="1">
        <v>1544</v>
      </c>
      <c r="C31" s="1">
        <v>192734</v>
      </c>
      <c r="D31" s="1">
        <v>92385</v>
      </c>
      <c r="E31" s="1">
        <v>1101194</v>
      </c>
      <c r="F31" s="1">
        <v>67351</v>
      </c>
    </row>
    <row r="32" spans="1:6" x14ac:dyDescent="0.2">
      <c r="A32" s="1">
        <v>1990</v>
      </c>
      <c r="B32" s="1">
        <v>2108</v>
      </c>
      <c r="C32" s="1">
        <v>185805</v>
      </c>
      <c r="D32" s="1">
        <v>164235</v>
      </c>
      <c r="E32" s="1">
        <v>319186</v>
      </c>
      <c r="F32" s="1">
        <v>73232</v>
      </c>
    </row>
    <row r="33" spans="1:6" x14ac:dyDescent="0.2">
      <c r="A33" s="1">
        <v>1991</v>
      </c>
      <c r="B33" s="1">
        <v>2055</v>
      </c>
      <c r="C33" s="1">
        <v>144104</v>
      </c>
      <c r="D33" s="1">
        <v>198160</v>
      </c>
      <c r="E33" s="1">
        <v>133566</v>
      </c>
      <c r="F33" s="1">
        <v>124630</v>
      </c>
    </row>
    <row r="34" spans="1:6" x14ac:dyDescent="0.2">
      <c r="A34" s="1">
        <v>1992</v>
      </c>
      <c r="B34" s="1">
        <v>1355</v>
      </c>
      <c r="C34" s="1">
        <v>203155</v>
      </c>
      <c r="D34" s="1">
        <v>298935</v>
      </c>
      <c r="E34" s="1">
        <v>94248</v>
      </c>
      <c r="F34" s="1">
        <v>140468</v>
      </c>
    </row>
    <row r="35" spans="1:6" x14ac:dyDescent="0.2">
      <c r="A35" s="1">
        <v>1993</v>
      </c>
      <c r="B35" s="1">
        <v>992</v>
      </c>
      <c r="C35" s="1">
        <v>205955</v>
      </c>
      <c r="D35" s="1">
        <v>231038</v>
      </c>
      <c r="E35" s="1">
        <v>537960</v>
      </c>
      <c r="F35" s="1">
        <v>134601</v>
      </c>
    </row>
    <row r="36" spans="1:6" x14ac:dyDescent="0.2">
      <c r="A36" s="1">
        <v>1994</v>
      </c>
      <c r="B36" s="1">
        <v>754</v>
      </c>
      <c r="C36" s="1">
        <v>211048</v>
      </c>
      <c r="D36" s="1">
        <v>267862</v>
      </c>
      <c r="E36" s="1">
        <v>179994</v>
      </c>
      <c r="F36" s="1">
        <v>176026</v>
      </c>
    </row>
    <row r="37" spans="1:6" x14ac:dyDescent="0.2">
      <c r="A37" s="1">
        <v>1995</v>
      </c>
      <c r="B37" s="1">
        <v>951</v>
      </c>
      <c r="C37" s="1">
        <v>207298</v>
      </c>
      <c r="D37" s="1">
        <v>170561</v>
      </c>
      <c r="E37" s="1">
        <v>448163</v>
      </c>
      <c r="F37" s="1">
        <v>300078</v>
      </c>
    </row>
    <row r="38" spans="1:6" x14ac:dyDescent="0.2">
      <c r="A38" s="1">
        <v>1996</v>
      </c>
      <c r="B38" s="1">
        <v>644</v>
      </c>
      <c r="C38" s="1">
        <v>311100</v>
      </c>
      <c r="D38" s="1">
        <v>223640</v>
      </c>
      <c r="E38" s="1">
        <v>188035</v>
      </c>
      <c r="F38" s="1">
        <v>283290</v>
      </c>
    </row>
    <row r="39" spans="1:6" x14ac:dyDescent="0.2">
      <c r="A39" s="1">
        <v>1997</v>
      </c>
      <c r="B39" s="1">
        <v>1075</v>
      </c>
      <c r="C39" s="1">
        <v>168518</v>
      </c>
      <c r="D39" s="1">
        <v>77550</v>
      </c>
      <c r="E39" s="1">
        <v>789051</v>
      </c>
      <c r="F39" s="1">
        <v>186456</v>
      </c>
    </row>
    <row r="40" spans="1:6" x14ac:dyDescent="0.2">
      <c r="A40" s="1">
        <v>1998</v>
      </c>
      <c r="B40" s="1">
        <v>518</v>
      </c>
      <c r="C40" s="1">
        <v>113435</v>
      </c>
      <c r="D40" s="1">
        <v>273197</v>
      </c>
      <c r="E40" s="1">
        <v>502655</v>
      </c>
      <c r="F40" s="1">
        <v>332022</v>
      </c>
    </row>
    <row r="41" spans="1:6" x14ac:dyDescent="0.2">
      <c r="A41" s="1">
        <v>1999</v>
      </c>
      <c r="B41" s="1">
        <v>518</v>
      </c>
      <c r="C41" s="1">
        <v>104835</v>
      </c>
      <c r="D41" s="1">
        <v>203301</v>
      </c>
      <c r="E41" s="1">
        <v>491179</v>
      </c>
      <c r="F41" s="1">
        <v>448409</v>
      </c>
    </row>
    <row r="42" spans="1:6" x14ac:dyDescent="0.2">
      <c r="A42" s="1">
        <v>2000</v>
      </c>
      <c r="B42" s="1">
        <v>1220</v>
      </c>
      <c r="C42" s="1">
        <v>90076</v>
      </c>
      <c r="D42" s="1">
        <v>96207</v>
      </c>
      <c r="E42" s="1">
        <v>156619</v>
      </c>
      <c r="F42" s="1">
        <v>199836</v>
      </c>
    </row>
    <row r="43" spans="1:6" x14ac:dyDescent="0.2">
      <c r="A43" s="1">
        <v>2001</v>
      </c>
      <c r="B43" s="1">
        <v>1138</v>
      </c>
      <c r="C43" s="1">
        <v>164013</v>
      </c>
      <c r="D43" s="1">
        <v>188465</v>
      </c>
      <c r="E43" s="1">
        <v>825447</v>
      </c>
      <c r="F43" s="1">
        <v>283462</v>
      </c>
    </row>
    <row r="44" spans="1:6" x14ac:dyDescent="0.2">
      <c r="A44" s="1">
        <v>2002</v>
      </c>
      <c r="B44" s="1">
        <v>446</v>
      </c>
      <c r="C44" s="1">
        <v>56135</v>
      </c>
      <c r="D44" s="1">
        <v>226560</v>
      </c>
      <c r="E44" s="1">
        <v>82951</v>
      </c>
      <c r="F44" s="1">
        <v>112541</v>
      </c>
    </row>
    <row r="45" spans="1:6" x14ac:dyDescent="0.2">
      <c r="A45" s="1">
        <v>2003</v>
      </c>
      <c r="B45" s="1">
        <v>422</v>
      </c>
      <c r="C45" s="1">
        <v>116904</v>
      </c>
      <c r="D45" s="1">
        <v>212057</v>
      </c>
      <c r="E45" s="1">
        <v>470697</v>
      </c>
      <c r="F45" s="1">
        <v>300253</v>
      </c>
    </row>
    <row r="46" spans="1:6" x14ac:dyDescent="0.2">
      <c r="A46" s="1">
        <v>2004</v>
      </c>
      <c r="B46" s="1">
        <v>2735</v>
      </c>
      <c r="C46" s="1">
        <v>116259</v>
      </c>
      <c r="D46" s="1">
        <v>138631</v>
      </c>
      <c r="E46" s="1">
        <v>245237</v>
      </c>
      <c r="F46" s="1">
        <v>110574</v>
      </c>
    </row>
    <row r="47" spans="1:6" x14ac:dyDescent="0.2">
      <c r="A47" s="1">
        <v>2005</v>
      </c>
      <c r="B47" s="1">
        <v>1572</v>
      </c>
      <c r="C47" s="1">
        <v>110192</v>
      </c>
      <c r="D47" s="1">
        <v>114440</v>
      </c>
      <c r="E47" s="1">
        <v>461187</v>
      </c>
      <c r="F47" s="1">
        <v>198564</v>
      </c>
    </row>
    <row r="48" spans="1:6" x14ac:dyDescent="0.2">
      <c r="A48" s="1">
        <v>2006</v>
      </c>
      <c r="B48" s="1">
        <v>1948</v>
      </c>
      <c r="C48" s="1">
        <v>91980</v>
      </c>
      <c r="D48" s="1">
        <v>69015</v>
      </c>
      <c r="E48" s="1">
        <v>149907</v>
      </c>
      <c r="F48" s="1">
        <v>268436</v>
      </c>
    </row>
    <row r="49" spans="1:6" x14ac:dyDescent="0.2">
      <c r="A49" s="1">
        <v>2007</v>
      </c>
      <c r="B49" s="1">
        <v>2144</v>
      </c>
      <c r="C49" s="1">
        <v>92481</v>
      </c>
      <c r="D49" s="1">
        <v>80573</v>
      </c>
      <c r="E49" s="1">
        <v>383355</v>
      </c>
      <c r="F49" s="1">
        <v>297998</v>
      </c>
    </row>
    <row r="50" spans="1:6" x14ac:dyDescent="0.2">
      <c r="A50" s="1">
        <v>2008</v>
      </c>
      <c r="B50" s="1">
        <v>1619</v>
      </c>
      <c r="C50" s="1">
        <v>30533</v>
      </c>
      <c r="D50" s="1">
        <v>116074</v>
      </c>
      <c r="E50" s="1">
        <v>90217</v>
      </c>
      <c r="F50" s="1">
        <v>102156</v>
      </c>
    </row>
    <row r="51" spans="1:6" x14ac:dyDescent="0.2">
      <c r="A51" s="1">
        <v>2009</v>
      </c>
      <c r="B51" s="1">
        <v>2138</v>
      </c>
      <c r="C51" s="1">
        <v>111984</v>
      </c>
      <c r="D51" s="1">
        <v>144569</v>
      </c>
      <c r="E51" s="1">
        <v>143589</v>
      </c>
      <c r="F51" s="1">
        <v>287707</v>
      </c>
    </row>
    <row r="52" spans="1:6" x14ac:dyDescent="0.2">
      <c r="A52" s="1">
        <v>2010</v>
      </c>
      <c r="B52" s="1">
        <v>2473</v>
      </c>
      <c r="C52" s="1">
        <v>112450</v>
      </c>
      <c r="D52" s="1">
        <v>225550</v>
      </c>
      <c r="E52" s="1">
        <v>309795</v>
      </c>
      <c r="F52" s="1">
        <v>97948</v>
      </c>
    </row>
    <row r="53" spans="1:6" x14ac:dyDescent="0.2">
      <c r="A53" s="1">
        <v>2011</v>
      </c>
      <c r="B53" s="1">
        <v>3008</v>
      </c>
      <c r="C53" s="1">
        <v>146069</v>
      </c>
      <c r="D53" s="1">
        <v>117860</v>
      </c>
      <c r="E53" s="1">
        <v>337169</v>
      </c>
      <c r="F53" s="1">
        <v>158096</v>
      </c>
    </row>
    <row r="54" spans="1:6" x14ac:dyDescent="0.2">
      <c r="A54" s="1">
        <v>2012</v>
      </c>
      <c r="B54" s="1">
        <v>1853</v>
      </c>
      <c r="C54" s="1">
        <v>45466</v>
      </c>
      <c r="D54" s="1">
        <v>121418</v>
      </c>
      <c r="E54" s="1">
        <v>129646</v>
      </c>
      <c r="F54" s="1">
        <v>104307</v>
      </c>
    </row>
    <row r="55" spans="1:6" x14ac:dyDescent="0.2">
      <c r="A55" s="1">
        <v>2013</v>
      </c>
      <c r="B55" s="1">
        <v>2202</v>
      </c>
      <c r="C55" s="1">
        <v>49223</v>
      </c>
      <c r="D55" s="1">
        <v>160659</v>
      </c>
      <c r="E55" s="1">
        <v>474551</v>
      </c>
      <c r="F55" s="1">
        <v>94260</v>
      </c>
    </row>
    <row r="56" spans="1:6" x14ac:dyDescent="0.2">
      <c r="A56" s="1">
        <v>2014</v>
      </c>
      <c r="B56" s="1">
        <v>2092</v>
      </c>
      <c r="C56" s="1">
        <v>58430</v>
      </c>
      <c r="D56" s="1">
        <v>286815</v>
      </c>
      <c r="E56" s="1">
        <v>415392</v>
      </c>
      <c r="F56" s="1">
        <v>106243</v>
      </c>
    </row>
    <row r="57" spans="1:6" x14ac:dyDescent="0.2">
      <c r="A57" s="1">
        <v>2015</v>
      </c>
      <c r="B57" s="1">
        <v>2723</v>
      </c>
      <c r="C57" s="1">
        <v>121921</v>
      </c>
      <c r="D57" s="1">
        <v>112561</v>
      </c>
      <c r="E57" s="1">
        <v>224816</v>
      </c>
      <c r="F57" s="1">
        <v>232390</v>
      </c>
    </row>
    <row r="58" spans="1:6" x14ac:dyDescent="0.2">
      <c r="A58" s="1">
        <v>2016</v>
      </c>
      <c r="B58" s="1">
        <v>2094</v>
      </c>
      <c r="C58" s="1">
        <v>106649</v>
      </c>
      <c r="D58" s="1">
        <v>122101</v>
      </c>
      <c r="E58" s="1">
        <v>358309</v>
      </c>
      <c r="F58" s="1">
        <v>130236</v>
      </c>
    </row>
    <row r="59" spans="1:6" x14ac:dyDescent="0.2">
      <c r="A59" s="1">
        <v>2017</v>
      </c>
      <c r="B59" s="1">
        <v>1521</v>
      </c>
      <c r="C59" s="1">
        <v>45005</v>
      </c>
      <c r="D59" s="1">
        <v>49382</v>
      </c>
      <c r="E59" s="1">
        <v>302033</v>
      </c>
      <c r="F59" s="1">
        <v>234349</v>
      </c>
    </row>
    <row r="60" spans="1:6" x14ac:dyDescent="0.2">
      <c r="A60" s="1">
        <v>2018</v>
      </c>
      <c r="B60" s="1">
        <v>3247</v>
      </c>
      <c r="C60" s="1">
        <v>25203</v>
      </c>
      <c r="D60" s="1">
        <v>112000</v>
      </c>
      <c r="E60" s="1">
        <v>348277</v>
      </c>
      <c r="F60" s="1">
        <v>176392</v>
      </c>
    </row>
    <row r="61" spans="1:6" x14ac:dyDescent="0.2">
      <c r="A61" s="1">
        <v>2019</v>
      </c>
      <c r="B61" s="1">
        <v>1073</v>
      </c>
      <c r="C61" s="1">
        <v>23844</v>
      </c>
      <c r="D61" s="1">
        <v>59304</v>
      </c>
      <c r="E61" s="1">
        <v>424495</v>
      </c>
      <c r="F61" s="1">
        <v>113161</v>
      </c>
    </row>
    <row r="62" spans="1:6" x14ac:dyDescent="0.2">
      <c r="A62" s="1">
        <v>2020</v>
      </c>
      <c r="B62" s="4">
        <v>1182</v>
      </c>
      <c r="C62" s="1">
        <v>11314</v>
      </c>
      <c r="D62" s="1">
        <v>43850</v>
      </c>
      <c r="E62" s="1">
        <v>127583</v>
      </c>
      <c r="F62" s="1">
        <v>143577</v>
      </c>
    </row>
    <row r="63" spans="1:6" x14ac:dyDescent="0.2">
      <c r="A63" s="1">
        <v>2021</v>
      </c>
      <c r="B63" s="1">
        <v>965</v>
      </c>
      <c r="C63" s="1">
        <v>51776</v>
      </c>
      <c r="D63" s="1">
        <v>74756</v>
      </c>
      <c r="E63" s="1">
        <v>156483</v>
      </c>
      <c r="F63" s="1">
        <v>136560</v>
      </c>
    </row>
    <row r="64" spans="1:6" x14ac:dyDescent="0.2">
      <c r="A64" s="1">
        <v>2022</v>
      </c>
      <c r="B64" s="1">
        <v>800</v>
      </c>
      <c r="C64" s="1">
        <v>45437</v>
      </c>
      <c r="D64" s="1">
        <v>50901</v>
      </c>
      <c r="E64" s="1">
        <v>86448</v>
      </c>
      <c r="F64" s="1">
        <v>173048</v>
      </c>
    </row>
    <row r="65" spans="1:6" x14ac:dyDescent="0.2">
      <c r="A65" s="1">
        <v>2023</v>
      </c>
      <c r="B65" s="1">
        <v>741</v>
      </c>
      <c r="C65" s="1">
        <v>42334</v>
      </c>
      <c r="D65" s="1">
        <v>42336</v>
      </c>
      <c r="E65" s="1">
        <v>126048</v>
      </c>
      <c r="F65" s="1">
        <v>179169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96910-2276-1641-8A25-3BE239EB9E1D}">
  <dimension ref="A1:F63"/>
  <sheetViews>
    <sheetView topLeftCell="A41" workbookViewId="0">
      <selection activeCell="C12" sqref="C12"/>
    </sheetView>
  </sheetViews>
  <sheetFormatPr baseColWidth="10" defaultColWidth="10.83203125" defaultRowHeight="15" x14ac:dyDescent="0.2"/>
  <sheetData>
    <row r="1" spans="1:6" x14ac:dyDescent="0.2">
      <c r="A1" s="1" t="s">
        <v>0</v>
      </c>
      <c r="B1" s="1" t="s">
        <v>13</v>
      </c>
      <c r="C1" s="1" t="s">
        <v>14</v>
      </c>
      <c r="D1" s="1" t="s">
        <v>15</v>
      </c>
      <c r="E1" s="1" t="s">
        <v>11</v>
      </c>
      <c r="F1" s="1" t="s">
        <v>12</v>
      </c>
    </row>
    <row r="2" spans="1:6" x14ac:dyDescent="0.2">
      <c r="A2" s="1">
        <v>1962</v>
      </c>
      <c r="B2" s="1">
        <v>618</v>
      </c>
      <c r="C2" s="1">
        <v>4430</v>
      </c>
      <c r="D2" s="1">
        <v>3921</v>
      </c>
      <c r="E2" s="1">
        <v>2889</v>
      </c>
      <c r="F2" s="1">
        <v>2035</v>
      </c>
    </row>
    <row r="3" spans="1:6" x14ac:dyDescent="0.2">
      <c r="A3" s="1">
        <v>1963</v>
      </c>
      <c r="B3" s="1">
        <v>1431</v>
      </c>
      <c r="C3" s="1">
        <v>9979</v>
      </c>
      <c r="D3" s="1">
        <v>11612</v>
      </c>
      <c r="E3" s="1">
        <v>10198</v>
      </c>
      <c r="F3" s="1">
        <v>11024</v>
      </c>
    </row>
    <row r="4" spans="1:6" x14ac:dyDescent="0.2">
      <c r="A4" s="1">
        <v>1964</v>
      </c>
      <c r="B4" s="1">
        <v>2911</v>
      </c>
      <c r="C4" s="1">
        <v>20299</v>
      </c>
      <c r="D4" s="1">
        <v>29388</v>
      </c>
      <c r="E4" s="1">
        <v>114555</v>
      </c>
      <c r="F4" s="1">
        <v>10771</v>
      </c>
    </row>
    <row r="5" spans="1:6" x14ac:dyDescent="0.2">
      <c r="A5" s="1">
        <v>1965</v>
      </c>
      <c r="B5" s="1">
        <v>3106</v>
      </c>
      <c r="C5" s="1">
        <v>21419</v>
      </c>
      <c r="D5" s="1">
        <v>8301</v>
      </c>
      <c r="E5" s="1">
        <v>4729</v>
      </c>
      <c r="F5" s="1">
        <v>2480</v>
      </c>
    </row>
    <row r="6" spans="1:6" x14ac:dyDescent="0.2">
      <c r="A6" s="1">
        <v>1966</v>
      </c>
      <c r="B6" s="1">
        <v>4516</v>
      </c>
      <c r="C6" s="1">
        <v>36710</v>
      </c>
      <c r="D6" s="1">
        <v>16493</v>
      </c>
      <c r="E6" s="1">
        <v>61908</v>
      </c>
      <c r="F6" s="1">
        <v>17730</v>
      </c>
    </row>
    <row r="7" spans="1:6" x14ac:dyDescent="0.2">
      <c r="A7" s="1">
        <v>1967</v>
      </c>
      <c r="B7" s="1">
        <v>6372</v>
      </c>
      <c r="C7" s="1">
        <v>29226</v>
      </c>
      <c r="D7" s="1">
        <v>6747</v>
      </c>
      <c r="E7" s="1">
        <v>4713</v>
      </c>
      <c r="F7" s="1">
        <v>5955</v>
      </c>
    </row>
    <row r="8" spans="1:6" x14ac:dyDescent="0.2">
      <c r="A8" s="1">
        <v>1968</v>
      </c>
      <c r="B8" s="1">
        <v>4604</v>
      </c>
      <c r="C8" s="1">
        <v>14594</v>
      </c>
      <c r="D8" s="1">
        <v>36407</v>
      </c>
      <c r="E8" s="1">
        <v>91028</v>
      </c>
      <c r="F8" s="1">
        <v>14537</v>
      </c>
    </row>
    <row r="9" spans="1:6" x14ac:dyDescent="0.2">
      <c r="A9" s="1">
        <v>1969</v>
      </c>
      <c r="B9" s="1">
        <v>5021</v>
      </c>
      <c r="C9" s="1">
        <v>19211</v>
      </c>
      <c r="D9" s="1">
        <v>5791</v>
      </c>
      <c r="E9" s="1">
        <v>11962</v>
      </c>
      <c r="F9" s="1">
        <v>2318</v>
      </c>
    </row>
    <row r="10" spans="1:6" x14ac:dyDescent="0.2">
      <c r="A10" s="1">
        <v>1970</v>
      </c>
      <c r="B10" s="1">
        <v>3199</v>
      </c>
      <c r="C10" s="1">
        <v>15121</v>
      </c>
      <c r="D10" s="1">
        <v>18529</v>
      </c>
      <c r="E10" s="1">
        <v>20523</v>
      </c>
      <c r="F10" s="1">
        <v>12304</v>
      </c>
    </row>
    <row r="11" spans="1:6" x14ac:dyDescent="0.2">
      <c r="A11" s="1">
        <v>1971</v>
      </c>
      <c r="B11" s="1">
        <v>3717</v>
      </c>
      <c r="C11" s="1">
        <v>18143</v>
      </c>
      <c r="D11" s="1">
        <v>14876</v>
      </c>
      <c r="E11" s="1">
        <v>22216</v>
      </c>
      <c r="F11" s="1">
        <v>4665</v>
      </c>
    </row>
    <row r="12" spans="1:6" x14ac:dyDescent="0.2">
      <c r="A12" s="1">
        <v>1972</v>
      </c>
      <c r="B12" s="1">
        <v>9342</v>
      </c>
      <c r="C12" s="1">
        <v>51725</v>
      </c>
      <c r="D12" s="1">
        <v>38440</v>
      </c>
      <c r="E12" s="1">
        <v>17197</v>
      </c>
      <c r="F12" s="1">
        <v>17442</v>
      </c>
    </row>
    <row r="13" spans="1:6" x14ac:dyDescent="0.2">
      <c r="A13" s="1">
        <v>1973</v>
      </c>
      <c r="B13" s="1">
        <v>9254</v>
      </c>
      <c r="C13" s="1">
        <v>21393</v>
      </c>
      <c r="D13" s="1">
        <v>5837</v>
      </c>
      <c r="E13" s="1">
        <v>6585</v>
      </c>
      <c r="F13" s="1">
        <v>6680</v>
      </c>
    </row>
    <row r="14" spans="1:6" x14ac:dyDescent="0.2">
      <c r="A14" s="1">
        <v>1974</v>
      </c>
      <c r="B14" s="1">
        <v>8199</v>
      </c>
      <c r="C14" s="1">
        <v>2428</v>
      </c>
      <c r="D14" s="1">
        <v>16021</v>
      </c>
      <c r="E14" s="1">
        <v>4188</v>
      </c>
      <c r="F14" s="1">
        <v>2107</v>
      </c>
    </row>
    <row r="15" spans="1:6" x14ac:dyDescent="0.2">
      <c r="A15" s="1">
        <v>1975</v>
      </c>
      <c r="B15" s="1">
        <v>1529</v>
      </c>
      <c r="C15" s="1">
        <v>0</v>
      </c>
      <c r="D15" s="1">
        <v>0</v>
      </c>
      <c r="E15" s="1">
        <v>0</v>
      </c>
      <c r="F15" s="1">
        <v>1</v>
      </c>
    </row>
    <row r="16" spans="1:6" x14ac:dyDescent="0.2">
      <c r="A16" s="1">
        <v>1976</v>
      </c>
      <c r="B16" s="1">
        <v>1123</v>
      </c>
      <c r="C16" s="1">
        <v>18</v>
      </c>
      <c r="D16" s="1">
        <v>6074</v>
      </c>
      <c r="E16" s="1">
        <v>722</v>
      </c>
      <c r="F16" s="1">
        <v>124</v>
      </c>
    </row>
    <row r="17" spans="1:6" x14ac:dyDescent="0.2">
      <c r="A17" s="1">
        <v>1977</v>
      </c>
      <c r="B17" s="1">
        <v>1443</v>
      </c>
      <c r="C17" s="1">
        <v>48385</v>
      </c>
      <c r="D17" s="1">
        <v>14424</v>
      </c>
      <c r="E17" s="1">
        <v>16318</v>
      </c>
      <c r="F17" s="1">
        <v>4233</v>
      </c>
    </row>
    <row r="18" spans="1:6" x14ac:dyDescent="0.2">
      <c r="A18" s="1">
        <v>1978</v>
      </c>
      <c r="B18" s="1">
        <v>531</v>
      </c>
      <c r="C18" s="1">
        <v>56</v>
      </c>
      <c r="D18" s="1">
        <v>32650</v>
      </c>
      <c r="E18" s="1">
        <v>1157</v>
      </c>
      <c r="F18" s="1">
        <v>1001</v>
      </c>
    </row>
    <row r="19" spans="1:6" x14ac:dyDescent="0.2">
      <c r="A19" s="1">
        <v>1979</v>
      </c>
      <c r="B19" s="1">
        <v>91</v>
      </c>
      <c r="C19" s="1">
        <v>2158</v>
      </c>
      <c r="D19" s="1">
        <v>234</v>
      </c>
      <c r="E19" s="1">
        <v>13478</v>
      </c>
      <c r="F19" s="1">
        <v>1064</v>
      </c>
    </row>
    <row r="20" spans="1:6" x14ac:dyDescent="0.2">
      <c r="A20" s="1">
        <v>1980</v>
      </c>
      <c r="B20" s="1">
        <v>631</v>
      </c>
      <c r="C20" s="1">
        <v>14053</v>
      </c>
      <c r="D20" s="1">
        <v>2946</v>
      </c>
      <c r="E20" s="1">
        <v>7224</v>
      </c>
      <c r="F20" s="1">
        <v>6910</v>
      </c>
    </row>
    <row r="21" spans="1:6" x14ac:dyDescent="0.2">
      <c r="A21" s="1">
        <v>1981</v>
      </c>
      <c r="B21" s="1">
        <v>283</v>
      </c>
      <c r="C21" s="1">
        <v>8833</v>
      </c>
      <c r="D21" s="1">
        <v>1403</v>
      </c>
      <c r="E21" s="1">
        <v>1466</v>
      </c>
      <c r="F21" s="1">
        <v>3594</v>
      </c>
    </row>
    <row r="22" spans="1:6" x14ac:dyDescent="0.2">
      <c r="A22" s="1">
        <v>1982</v>
      </c>
      <c r="B22" s="1">
        <v>1052</v>
      </c>
      <c r="C22" s="1">
        <v>7136</v>
      </c>
      <c r="D22" s="1">
        <v>20003</v>
      </c>
      <c r="E22" s="1">
        <v>16174</v>
      </c>
      <c r="F22" s="1">
        <v>734</v>
      </c>
    </row>
    <row r="23" spans="1:6" x14ac:dyDescent="0.2">
      <c r="A23" s="1">
        <v>1983</v>
      </c>
      <c r="B23" s="1">
        <v>47</v>
      </c>
      <c r="C23" s="1">
        <v>178</v>
      </c>
      <c r="D23" s="1">
        <v>15369</v>
      </c>
      <c r="E23" s="1">
        <v>4171</v>
      </c>
      <c r="F23" s="1">
        <v>675</v>
      </c>
    </row>
    <row r="24" spans="1:6" x14ac:dyDescent="0.2">
      <c r="A24" s="1">
        <v>1984</v>
      </c>
      <c r="B24" s="1">
        <v>14</v>
      </c>
      <c r="C24" s="1">
        <v>1290</v>
      </c>
      <c r="D24" s="1">
        <v>5141</v>
      </c>
      <c r="E24" s="1">
        <v>4960</v>
      </c>
      <c r="F24" s="1">
        <v>1892</v>
      </c>
    </row>
    <row r="25" spans="1:6" x14ac:dyDescent="0.2">
      <c r="A25" s="1">
        <v>1985</v>
      </c>
      <c r="B25" s="1">
        <v>20</v>
      </c>
      <c r="C25" s="1">
        <v>1060</v>
      </c>
      <c r="D25" s="1">
        <v>1926</v>
      </c>
      <c r="E25" s="1">
        <v>5325</v>
      </c>
      <c r="F25" s="1">
        <v>1892</v>
      </c>
    </row>
    <row r="26" spans="1:6" x14ac:dyDescent="0.2">
      <c r="A26" s="1">
        <v>1986</v>
      </c>
      <c r="B26" s="1">
        <v>102</v>
      </c>
      <c r="C26" s="1">
        <v>4185</v>
      </c>
      <c r="D26" s="1">
        <v>7439</v>
      </c>
      <c r="E26" s="1">
        <v>4901</v>
      </c>
      <c r="F26" s="1">
        <v>5928</v>
      </c>
    </row>
    <row r="27" spans="1:6" x14ac:dyDescent="0.2">
      <c r="A27" s="1">
        <v>1987</v>
      </c>
      <c r="B27" s="1">
        <v>149</v>
      </c>
      <c r="C27" s="1">
        <v>1620</v>
      </c>
      <c r="D27" s="1">
        <v>1015</v>
      </c>
      <c r="E27" s="1">
        <v>3331</v>
      </c>
      <c r="F27" s="1">
        <v>949</v>
      </c>
    </row>
    <row r="28" spans="1:6" x14ac:dyDescent="0.2">
      <c r="A28" s="1">
        <v>1988</v>
      </c>
      <c r="B28" s="1">
        <v>206</v>
      </c>
      <c r="C28" s="1">
        <v>1246</v>
      </c>
      <c r="D28" s="1">
        <v>12</v>
      </c>
      <c r="E28" s="1">
        <v>144</v>
      </c>
      <c r="F28" s="1">
        <v>3109</v>
      </c>
    </row>
    <row r="29" spans="1:6" x14ac:dyDescent="0.2">
      <c r="A29" s="1">
        <v>1989</v>
      </c>
      <c r="B29" s="1">
        <v>310</v>
      </c>
      <c r="C29" s="1">
        <v>10083</v>
      </c>
      <c r="D29" s="1">
        <v>4261</v>
      </c>
      <c r="E29" s="1">
        <v>27640</v>
      </c>
      <c r="F29" s="1">
        <v>3375</v>
      </c>
    </row>
    <row r="30" spans="1:6" x14ac:dyDescent="0.2">
      <c r="A30" s="1">
        <v>1990</v>
      </c>
      <c r="B30" s="1">
        <v>557</v>
      </c>
      <c r="C30" s="1">
        <v>11574</v>
      </c>
      <c r="D30" s="1">
        <v>8218</v>
      </c>
      <c r="E30" s="1">
        <v>13822</v>
      </c>
      <c r="F30" s="1">
        <v>9382</v>
      </c>
    </row>
    <row r="31" spans="1:6" x14ac:dyDescent="0.2">
      <c r="A31" s="1">
        <v>1991</v>
      </c>
      <c r="B31" s="1">
        <v>1366</v>
      </c>
      <c r="C31" s="1">
        <v>17987</v>
      </c>
      <c r="D31" s="1">
        <v>15629</v>
      </c>
      <c r="E31" s="1">
        <v>6406</v>
      </c>
      <c r="F31" s="1">
        <v>5977</v>
      </c>
    </row>
    <row r="32" spans="1:6" x14ac:dyDescent="0.2">
      <c r="A32" s="1">
        <v>1992</v>
      </c>
      <c r="B32" s="1">
        <v>967</v>
      </c>
      <c r="C32" s="1">
        <v>52717</v>
      </c>
      <c r="D32" s="1">
        <v>22127</v>
      </c>
      <c r="E32" s="1">
        <v>66742</v>
      </c>
      <c r="F32" s="1">
        <v>15458</v>
      </c>
    </row>
    <row r="33" spans="1:6" x14ac:dyDescent="0.2">
      <c r="A33" s="1">
        <v>1993</v>
      </c>
      <c r="B33" s="1">
        <v>1628</v>
      </c>
      <c r="C33" s="1">
        <v>76874</v>
      </c>
      <c r="D33" s="1">
        <v>14307</v>
      </c>
      <c r="E33" s="1">
        <v>39661</v>
      </c>
      <c r="F33" s="1">
        <v>22504</v>
      </c>
    </row>
    <row r="34" spans="1:6" x14ac:dyDescent="0.2">
      <c r="A34" s="1">
        <v>1994</v>
      </c>
      <c r="B34" s="1">
        <v>1996</v>
      </c>
      <c r="C34" s="1">
        <v>97224</v>
      </c>
      <c r="D34" s="1">
        <v>44891</v>
      </c>
      <c r="E34" s="1">
        <v>35405</v>
      </c>
      <c r="F34" s="1">
        <v>27658</v>
      </c>
    </row>
    <row r="35" spans="1:6" x14ac:dyDescent="0.2">
      <c r="A35" s="1">
        <v>1995</v>
      </c>
      <c r="B35" s="1">
        <v>1702</v>
      </c>
      <c r="C35" s="1">
        <v>76756</v>
      </c>
      <c r="D35" s="1">
        <v>17834</v>
      </c>
      <c r="E35" s="1">
        <v>37788</v>
      </c>
      <c r="F35" s="1">
        <v>54296</v>
      </c>
    </row>
    <row r="36" spans="1:6" x14ac:dyDescent="0.2">
      <c r="A36" s="1">
        <v>1996</v>
      </c>
      <c r="B36" s="1">
        <v>1717</v>
      </c>
      <c r="C36" s="1">
        <v>154150</v>
      </c>
      <c r="D36" s="1">
        <v>19059</v>
      </c>
      <c r="E36" s="1">
        <v>37651</v>
      </c>
      <c r="F36" s="1">
        <v>135623</v>
      </c>
    </row>
    <row r="37" spans="1:6" x14ac:dyDescent="0.2">
      <c r="A37" s="1">
        <v>1997</v>
      </c>
      <c r="B37" s="1">
        <v>2566</v>
      </c>
      <c r="C37" s="1">
        <v>93039</v>
      </c>
      <c r="D37" s="1">
        <v>2140</v>
      </c>
      <c r="E37" s="1">
        <v>65745</v>
      </c>
      <c r="F37" s="1">
        <v>38913</v>
      </c>
    </row>
    <row r="38" spans="1:6" x14ac:dyDescent="0.2">
      <c r="A38" s="1">
        <v>1998</v>
      </c>
      <c r="B38" s="1">
        <v>460</v>
      </c>
      <c r="C38" s="1">
        <v>22031</v>
      </c>
      <c r="D38" s="1">
        <v>19206</v>
      </c>
      <c r="E38" s="1">
        <v>39246</v>
      </c>
      <c r="F38" s="1">
        <v>41057</v>
      </c>
    </row>
    <row r="39" spans="1:6" x14ac:dyDescent="0.2">
      <c r="A39" s="1">
        <v>1999</v>
      </c>
      <c r="B39" s="1">
        <v>1049</v>
      </c>
      <c r="C39" s="1">
        <v>36601</v>
      </c>
      <c r="D39" s="1">
        <v>28437</v>
      </c>
      <c r="E39" s="1">
        <v>48552</v>
      </c>
      <c r="F39" s="1">
        <v>117196</v>
      </c>
    </row>
    <row r="40" spans="1:6" x14ac:dyDescent="0.2">
      <c r="A40" s="1">
        <v>2000</v>
      </c>
      <c r="B40" s="1">
        <v>1671</v>
      </c>
      <c r="C40" s="1">
        <v>15833</v>
      </c>
      <c r="D40" s="1">
        <v>5651</v>
      </c>
      <c r="E40" s="1">
        <v>9497</v>
      </c>
      <c r="F40" s="1">
        <v>40337</v>
      </c>
    </row>
    <row r="41" spans="1:6" x14ac:dyDescent="0.2">
      <c r="A41" s="1">
        <v>2001</v>
      </c>
      <c r="B41" s="1">
        <v>7</v>
      </c>
      <c r="C41" s="1">
        <v>610</v>
      </c>
      <c r="D41" s="1">
        <v>10731</v>
      </c>
      <c r="E41" s="1">
        <v>11012</v>
      </c>
      <c r="F41" s="1">
        <v>5397</v>
      </c>
    </row>
    <row r="42" spans="1:6" x14ac:dyDescent="0.2">
      <c r="A42" s="1">
        <v>2002</v>
      </c>
      <c r="B42" s="1">
        <v>25</v>
      </c>
      <c r="C42" s="1">
        <v>208</v>
      </c>
      <c r="D42" s="1">
        <v>21131</v>
      </c>
      <c r="E42" s="1">
        <v>4578</v>
      </c>
      <c r="F42" s="1">
        <v>2017</v>
      </c>
    </row>
    <row r="43" spans="1:6" x14ac:dyDescent="0.2">
      <c r="A43" s="1">
        <v>2003</v>
      </c>
      <c r="B43" s="1">
        <v>312</v>
      </c>
      <c r="C43" s="1">
        <v>42158</v>
      </c>
      <c r="D43" s="1">
        <v>38795</v>
      </c>
      <c r="E43" s="1">
        <v>76113</v>
      </c>
      <c r="F43" s="1">
        <v>51701</v>
      </c>
    </row>
    <row r="44" spans="1:6" x14ac:dyDescent="0.2">
      <c r="A44" s="1">
        <v>2004</v>
      </c>
      <c r="B44" s="1">
        <v>7410</v>
      </c>
      <c r="C44" s="1">
        <v>103392</v>
      </c>
      <c r="D44" s="1">
        <v>26617</v>
      </c>
      <c r="E44" s="1">
        <v>20439</v>
      </c>
      <c r="F44" s="1">
        <v>37996</v>
      </c>
    </row>
    <row r="45" spans="1:6" x14ac:dyDescent="0.2">
      <c r="A45" s="1">
        <v>2005</v>
      </c>
      <c r="B45" s="1">
        <v>26970</v>
      </c>
      <c r="C45" s="1">
        <v>99465</v>
      </c>
      <c r="D45" s="1">
        <v>42203</v>
      </c>
      <c r="E45" s="1">
        <v>106395</v>
      </c>
      <c r="F45" s="1">
        <v>150121</v>
      </c>
    </row>
    <row r="46" spans="1:6" x14ac:dyDescent="0.2">
      <c r="A46" s="1">
        <v>2006</v>
      </c>
      <c r="B46" s="1">
        <v>30033</v>
      </c>
      <c r="C46" s="1">
        <v>61298</v>
      </c>
      <c r="D46" s="1">
        <v>34430</v>
      </c>
      <c r="E46" s="1">
        <v>56810</v>
      </c>
      <c r="F46" s="1">
        <v>343827</v>
      </c>
    </row>
    <row r="47" spans="1:6" x14ac:dyDescent="0.2">
      <c r="A47" s="1">
        <v>2007</v>
      </c>
      <c r="B47" s="1">
        <v>17463</v>
      </c>
      <c r="C47" s="1">
        <v>70580</v>
      </c>
      <c r="D47" s="1">
        <v>19880</v>
      </c>
      <c r="E47" s="1">
        <v>39872</v>
      </c>
      <c r="F47" s="1">
        <v>177573</v>
      </c>
    </row>
    <row r="48" spans="1:6" x14ac:dyDescent="0.2">
      <c r="A48" s="1">
        <v>2008</v>
      </c>
      <c r="B48" s="1">
        <v>14599</v>
      </c>
      <c r="C48" s="1">
        <v>35679</v>
      </c>
      <c r="D48" s="1">
        <v>34479</v>
      </c>
      <c r="E48" s="1">
        <v>18105</v>
      </c>
      <c r="F48" s="1">
        <v>81876</v>
      </c>
    </row>
    <row r="49" spans="1:6" x14ac:dyDescent="0.2">
      <c r="A49" s="1">
        <v>2009</v>
      </c>
      <c r="B49" s="1">
        <v>2830</v>
      </c>
      <c r="C49" s="1">
        <v>36680</v>
      </c>
      <c r="D49" s="1">
        <v>30860</v>
      </c>
      <c r="E49" s="1">
        <v>27010</v>
      </c>
      <c r="F49" s="1">
        <v>190800</v>
      </c>
    </row>
    <row r="50" spans="1:6" x14ac:dyDescent="0.2">
      <c r="A50" s="1">
        <v>2010</v>
      </c>
      <c r="B50" s="1">
        <v>2359</v>
      </c>
      <c r="C50" s="1">
        <v>32737</v>
      </c>
      <c r="D50" s="1">
        <v>42772</v>
      </c>
      <c r="E50" s="1">
        <v>58610</v>
      </c>
      <c r="F50" s="1">
        <v>51005</v>
      </c>
    </row>
    <row r="51" spans="1:6" x14ac:dyDescent="0.2">
      <c r="A51" s="1">
        <v>2011</v>
      </c>
      <c r="B51" s="1">
        <v>5321</v>
      </c>
      <c r="C51" s="1">
        <v>51478</v>
      </c>
      <c r="D51" s="1">
        <v>20720</v>
      </c>
      <c r="E51" s="1">
        <v>65022</v>
      </c>
      <c r="F51" s="1">
        <v>142526</v>
      </c>
    </row>
    <row r="52" spans="1:6" x14ac:dyDescent="0.2">
      <c r="A52" s="1">
        <v>2012</v>
      </c>
      <c r="B52" s="1">
        <v>8027</v>
      </c>
      <c r="C52" s="1">
        <v>21997</v>
      </c>
      <c r="D52" s="1">
        <v>20100</v>
      </c>
      <c r="E52" s="1">
        <v>16374</v>
      </c>
      <c r="F52" s="1">
        <v>240569</v>
      </c>
    </row>
    <row r="53" spans="1:6" x14ac:dyDescent="0.2">
      <c r="A53" s="1">
        <v>2013</v>
      </c>
      <c r="B53" s="1">
        <v>10817</v>
      </c>
      <c r="C53" s="1">
        <v>20609</v>
      </c>
      <c r="D53" s="1">
        <v>43669</v>
      </c>
      <c r="E53" s="1">
        <v>116026</v>
      </c>
      <c r="F53" s="1">
        <v>103365</v>
      </c>
    </row>
    <row r="54" spans="1:6" x14ac:dyDescent="0.2">
      <c r="A54" s="1">
        <v>2014</v>
      </c>
      <c r="B54" s="1">
        <v>8023</v>
      </c>
      <c r="C54" s="1">
        <v>19808</v>
      </c>
      <c r="D54" s="1">
        <v>30184</v>
      </c>
      <c r="E54" s="1">
        <v>33830</v>
      </c>
      <c r="F54" s="1">
        <v>84771</v>
      </c>
    </row>
    <row r="55" spans="1:6" x14ac:dyDescent="0.2">
      <c r="A55" s="1">
        <v>2015</v>
      </c>
      <c r="B55" s="1">
        <v>13845</v>
      </c>
      <c r="C55" s="1">
        <v>22896</v>
      </c>
      <c r="D55" s="1">
        <v>30153</v>
      </c>
      <c r="E55" s="1">
        <v>35926</v>
      </c>
      <c r="F55" s="1">
        <v>166009</v>
      </c>
    </row>
    <row r="56" spans="1:6" x14ac:dyDescent="0.2">
      <c r="A56" s="1">
        <v>2016</v>
      </c>
      <c r="B56" s="1">
        <v>10024</v>
      </c>
      <c r="C56" s="1">
        <v>70143</v>
      </c>
      <c r="D56" s="1">
        <v>22146</v>
      </c>
      <c r="E56" s="1">
        <v>35250</v>
      </c>
      <c r="F56" s="1">
        <v>200653</v>
      </c>
    </row>
    <row r="57" spans="1:6" x14ac:dyDescent="0.2">
      <c r="A57" s="1">
        <v>2017</v>
      </c>
      <c r="B57" s="1">
        <v>3817</v>
      </c>
      <c r="C57" s="1">
        <v>14282</v>
      </c>
      <c r="D57" s="1">
        <v>13592</v>
      </c>
      <c r="E57" s="1">
        <v>49027</v>
      </c>
      <c r="F57" s="1">
        <v>177119</v>
      </c>
    </row>
    <row r="58" spans="1:6" x14ac:dyDescent="0.2">
      <c r="A58" s="1">
        <v>2018</v>
      </c>
      <c r="B58" s="1">
        <v>2649</v>
      </c>
      <c r="C58" s="1">
        <v>5731</v>
      </c>
      <c r="D58" s="1">
        <v>8823</v>
      </c>
      <c r="E58" s="1">
        <v>15643</v>
      </c>
      <c r="F58" s="1">
        <v>133812</v>
      </c>
    </row>
    <row r="59" spans="1:6" x14ac:dyDescent="0.2">
      <c r="A59" s="1">
        <v>2019</v>
      </c>
      <c r="B59" s="1">
        <v>4253</v>
      </c>
      <c r="C59" s="1">
        <v>6591</v>
      </c>
      <c r="D59" s="1">
        <v>9478</v>
      </c>
      <c r="E59" s="1">
        <v>10884</v>
      </c>
      <c r="F59" s="1">
        <v>50653</v>
      </c>
    </row>
    <row r="60" spans="1:6" x14ac:dyDescent="0.2">
      <c r="A60" s="1">
        <v>2020</v>
      </c>
      <c r="B60" s="1">
        <v>2617</v>
      </c>
      <c r="C60" s="1">
        <v>2781</v>
      </c>
      <c r="D60" s="1">
        <v>20981</v>
      </c>
      <c r="E60" s="1">
        <v>11798</v>
      </c>
      <c r="F60" s="1">
        <v>53677</v>
      </c>
    </row>
    <row r="61" spans="1:6" x14ac:dyDescent="0.2">
      <c r="A61" s="1">
        <v>2021</v>
      </c>
      <c r="B61" s="1">
        <v>93</v>
      </c>
      <c r="C61" s="1">
        <v>815</v>
      </c>
      <c r="D61" s="1">
        <v>12140</v>
      </c>
      <c r="E61" s="1">
        <v>6482</v>
      </c>
      <c r="F61" s="1">
        <v>49371</v>
      </c>
    </row>
    <row r="62" spans="1:6" x14ac:dyDescent="0.2">
      <c r="A62" s="1">
        <v>2022</v>
      </c>
      <c r="B62" s="1">
        <v>481</v>
      </c>
      <c r="C62" s="1">
        <v>5668</v>
      </c>
      <c r="D62" s="1">
        <v>14147</v>
      </c>
      <c r="E62" s="1">
        <v>11708</v>
      </c>
      <c r="F62" s="1">
        <v>73453</v>
      </c>
    </row>
    <row r="63" spans="1:6" x14ac:dyDescent="0.2">
      <c r="A63" s="1">
        <v>2023</v>
      </c>
      <c r="B63" s="1">
        <v>646</v>
      </c>
      <c r="C63" s="1">
        <v>5904</v>
      </c>
      <c r="D63" s="1">
        <v>20944</v>
      </c>
      <c r="E63" s="1">
        <v>29197</v>
      </c>
      <c r="F63" s="1">
        <v>105343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C36A6-EF70-4883-B9E3-7E0A8DA2ED57}">
  <dimension ref="A1:F46"/>
  <sheetViews>
    <sheetView topLeftCell="A34" workbookViewId="0">
      <selection activeCell="D52" sqref="D52"/>
    </sheetView>
  </sheetViews>
  <sheetFormatPr baseColWidth="10" defaultColWidth="8.83203125" defaultRowHeight="15" x14ac:dyDescent="0.2"/>
  <cols>
    <col min="2" max="2" width="16.83203125" customWidth="1"/>
    <col min="3" max="3" width="12.83203125" customWidth="1"/>
    <col min="4" max="4" width="13" customWidth="1"/>
    <col min="5" max="5" width="12" customWidth="1"/>
    <col min="6" max="6" width="13" customWidth="1"/>
  </cols>
  <sheetData>
    <row r="1" spans="1:6" x14ac:dyDescent="0.2">
      <c r="A1" t="s">
        <v>0</v>
      </c>
      <c r="B1" t="s">
        <v>75</v>
      </c>
      <c r="C1" t="s">
        <v>34</v>
      </c>
      <c r="D1" t="s">
        <v>1</v>
      </c>
      <c r="E1" t="s">
        <v>36</v>
      </c>
      <c r="F1" t="s">
        <v>37</v>
      </c>
    </row>
    <row r="2" spans="1:6" x14ac:dyDescent="0.2">
      <c r="A2">
        <v>1979</v>
      </c>
      <c r="B2">
        <v>40353</v>
      </c>
      <c r="C2">
        <v>13534</v>
      </c>
      <c r="D2">
        <v>26819</v>
      </c>
      <c r="E2">
        <v>8299</v>
      </c>
      <c r="F2">
        <v>48652</v>
      </c>
    </row>
    <row r="3" spans="1:6" x14ac:dyDescent="0.2">
      <c r="A3">
        <v>1980</v>
      </c>
      <c r="B3">
        <v>62743</v>
      </c>
      <c r="C3">
        <v>20919</v>
      </c>
      <c r="D3">
        <v>41824</v>
      </c>
      <c r="E3">
        <v>23206</v>
      </c>
      <c r="F3">
        <v>85949</v>
      </c>
    </row>
    <row r="4" spans="1:6" x14ac:dyDescent="0.2">
      <c r="A4">
        <v>1981</v>
      </c>
      <c r="B4">
        <v>138879</v>
      </c>
      <c r="C4">
        <v>27017</v>
      </c>
      <c r="D4">
        <v>111862</v>
      </c>
      <c r="E4">
        <v>27538</v>
      </c>
      <c r="F4">
        <v>166417</v>
      </c>
    </row>
    <row r="5" spans="1:6" x14ac:dyDescent="0.2">
      <c r="A5">
        <v>1982</v>
      </c>
      <c r="B5">
        <v>68761</v>
      </c>
      <c r="C5">
        <v>20540</v>
      </c>
      <c r="D5">
        <v>48221</v>
      </c>
      <c r="E5">
        <v>42482</v>
      </c>
      <c r="F5">
        <v>111243</v>
      </c>
    </row>
    <row r="6" spans="1:6" x14ac:dyDescent="0.2">
      <c r="A6">
        <v>1983</v>
      </c>
      <c r="B6">
        <v>71683</v>
      </c>
      <c r="C6">
        <v>21120</v>
      </c>
      <c r="D6">
        <v>50563</v>
      </c>
      <c r="E6">
        <v>5774</v>
      </c>
      <c r="F6">
        <v>77457</v>
      </c>
    </row>
    <row r="7" spans="1:6" x14ac:dyDescent="0.2">
      <c r="A7">
        <v>1984</v>
      </c>
      <c r="B7">
        <v>76211</v>
      </c>
      <c r="C7">
        <v>5327</v>
      </c>
      <c r="D7">
        <v>70884</v>
      </c>
      <c r="E7">
        <v>7750</v>
      </c>
      <c r="F7">
        <v>83961</v>
      </c>
    </row>
    <row r="8" spans="1:6" x14ac:dyDescent="0.2">
      <c r="A8">
        <v>1985</v>
      </c>
      <c r="B8">
        <v>184747</v>
      </c>
      <c r="C8">
        <v>26804</v>
      </c>
      <c r="D8">
        <v>157943</v>
      </c>
      <c r="E8">
        <v>29747</v>
      </c>
      <c r="F8">
        <v>214494</v>
      </c>
    </row>
    <row r="9" spans="1:6" x14ac:dyDescent="0.2">
      <c r="A9">
        <v>1986</v>
      </c>
      <c r="B9">
        <v>69036</v>
      </c>
      <c r="C9">
        <v>17846</v>
      </c>
      <c r="D9">
        <v>51190</v>
      </c>
      <c r="E9">
        <v>6420</v>
      </c>
      <c r="F9">
        <v>75456</v>
      </c>
    </row>
    <row r="10" spans="1:6" x14ac:dyDescent="0.2">
      <c r="A10">
        <v>1987</v>
      </c>
      <c r="B10">
        <v>39264</v>
      </c>
      <c r="C10">
        <v>11283</v>
      </c>
      <c r="D10">
        <v>27981</v>
      </c>
      <c r="E10">
        <v>4077</v>
      </c>
      <c r="F10">
        <v>43342</v>
      </c>
    </row>
    <row r="11" spans="1:6" x14ac:dyDescent="0.2">
      <c r="A11">
        <v>1988</v>
      </c>
      <c r="B11">
        <v>41915</v>
      </c>
      <c r="C11">
        <v>16538</v>
      </c>
      <c r="D11">
        <v>25377</v>
      </c>
      <c r="E11">
        <v>3181</v>
      </c>
      <c r="F11">
        <v>45096</v>
      </c>
    </row>
    <row r="12" spans="1:6" x14ac:dyDescent="0.2">
      <c r="A12">
        <v>1989</v>
      </c>
      <c r="B12">
        <v>75058</v>
      </c>
      <c r="C12">
        <v>21639</v>
      </c>
      <c r="D12">
        <v>53419</v>
      </c>
      <c r="E12">
        <v>15492</v>
      </c>
      <c r="F12">
        <v>90550</v>
      </c>
    </row>
    <row r="13" spans="1:6" x14ac:dyDescent="0.2">
      <c r="A13">
        <v>1990</v>
      </c>
      <c r="B13">
        <v>57529</v>
      </c>
      <c r="C13">
        <v>19964</v>
      </c>
      <c r="D13">
        <v>37565</v>
      </c>
      <c r="E13">
        <v>9856</v>
      </c>
      <c r="F13">
        <v>67385</v>
      </c>
    </row>
    <row r="14" spans="1:6" x14ac:dyDescent="0.2">
      <c r="A14">
        <v>1991</v>
      </c>
      <c r="B14">
        <v>120153</v>
      </c>
      <c r="C14">
        <v>25138</v>
      </c>
      <c r="D14">
        <v>95015</v>
      </c>
      <c r="E14">
        <v>31284</v>
      </c>
      <c r="F14">
        <v>151437</v>
      </c>
    </row>
    <row r="15" spans="1:6" x14ac:dyDescent="0.2">
      <c r="A15">
        <v>1992</v>
      </c>
      <c r="B15">
        <v>154541</v>
      </c>
      <c r="C15">
        <v>29242</v>
      </c>
      <c r="D15">
        <v>125299</v>
      </c>
      <c r="E15">
        <v>77394</v>
      </c>
      <c r="F15">
        <v>231935</v>
      </c>
    </row>
    <row r="16" spans="1:6" x14ac:dyDescent="0.2">
      <c r="A16">
        <v>1993</v>
      </c>
      <c r="B16">
        <v>176100</v>
      </c>
      <c r="C16">
        <v>52698</v>
      </c>
      <c r="D16">
        <v>123402</v>
      </c>
      <c r="E16">
        <v>104630</v>
      </c>
      <c r="F16">
        <v>280730</v>
      </c>
    </row>
    <row r="17" spans="1:6" x14ac:dyDescent="0.2">
      <c r="A17">
        <v>1994</v>
      </c>
      <c r="B17">
        <v>127527</v>
      </c>
      <c r="C17">
        <v>53380</v>
      </c>
      <c r="D17">
        <v>74147</v>
      </c>
      <c r="E17">
        <v>80509</v>
      </c>
      <c r="F17">
        <v>208036</v>
      </c>
    </row>
    <row r="18" spans="1:6" x14ac:dyDescent="0.2">
      <c r="A18">
        <v>1995</v>
      </c>
      <c r="B18">
        <v>142308</v>
      </c>
      <c r="C18">
        <v>66777</v>
      </c>
      <c r="D18">
        <v>75531</v>
      </c>
      <c r="E18">
        <v>76420</v>
      </c>
      <c r="F18">
        <v>218728</v>
      </c>
    </row>
    <row r="19" spans="1:6" x14ac:dyDescent="0.2">
      <c r="A19">
        <v>1996</v>
      </c>
      <c r="B19">
        <v>184400</v>
      </c>
      <c r="C19">
        <v>90148</v>
      </c>
      <c r="D19">
        <v>94252</v>
      </c>
      <c r="E19">
        <v>188385</v>
      </c>
      <c r="F19">
        <v>372785</v>
      </c>
    </row>
    <row r="20" spans="1:6" x14ac:dyDescent="0.2">
      <c r="A20">
        <v>1997</v>
      </c>
      <c r="B20">
        <v>125657</v>
      </c>
      <c r="C20">
        <v>68197</v>
      </c>
      <c r="D20">
        <v>57460</v>
      </c>
      <c r="E20">
        <v>101258</v>
      </c>
      <c r="F20">
        <v>226915</v>
      </c>
    </row>
    <row r="21" spans="1:6" x14ac:dyDescent="0.2">
      <c r="A21">
        <v>1998</v>
      </c>
      <c r="B21">
        <v>90459</v>
      </c>
      <c r="C21">
        <v>50486</v>
      </c>
      <c r="D21">
        <v>39973</v>
      </c>
      <c r="E21">
        <v>30989</v>
      </c>
      <c r="F21">
        <v>121448</v>
      </c>
    </row>
    <row r="22" spans="1:6" x14ac:dyDescent="0.2">
      <c r="A22">
        <v>1999</v>
      </c>
      <c r="B22">
        <v>65879</v>
      </c>
      <c r="C22">
        <v>47202</v>
      </c>
      <c r="D22">
        <v>18677</v>
      </c>
      <c r="E22">
        <v>58765</v>
      </c>
      <c r="F22">
        <v>124644</v>
      </c>
    </row>
    <row r="23" spans="1:6" x14ac:dyDescent="0.2">
      <c r="A23">
        <v>2000</v>
      </c>
      <c r="B23">
        <v>53145</v>
      </c>
      <c r="C23">
        <v>31535</v>
      </c>
      <c r="D23">
        <v>21610</v>
      </c>
      <c r="E23">
        <v>25359</v>
      </c>
      <c r="F23">
        <v>78504</v>
      </c>
    </row>
    <row r="24" spans="1:6" x14ac:dyDescent="0.2">
      <c r="A24">
        <v>2001</v>
      </c>
      <c r="B24">
        <v>103755</v>
      </c>
      <c r="C24">
        <v>29341</v>
      </c>
      <c r="D24">
        <v>74414</v>
      </c>
      <c r="E24">
        <v>23500</v>
      </c>
      <c r="F24">
        <v>127255</v>
      </c>
    </row>
    <row r="25" spans="1:6" x14ac:dyDescent="0.2">
      <c r="A25">
        <v>2002</v>
      </c>
      <c r="B25">
        <v>71253</v>
      </c>
      <c r="C25">
        <v>22607</v>
      </c>
      <c r="D25">
        <v>48646</v>
      </c>
      <c r="E25">
        <v>8076</v>
      </c>
      <c r="F25">
        <v>79329</v>
      </c>
    </row>
    <row r="26" spans="1:6" x14ac:dyDescent="0.2">
      <c r="A26">
        <v>2003</v>
      </c>
      <c r="B26">
        <v>194425</v>
      </c>
      <c r="C26">
        <v>69571</v>
      </c>
      <c r="D26">
        <v>124854</v>
      </c>
      <c r="E26">
        <v>46552</v>
      </c>
      <c r="F26">
        <v>240977</v>
      </c>
    </row>
    <row r="27" spans="1:6" x14ac:dyDescent="0.2">
      <c r="A27">
        <v>2004</v>
      </c>
      <c r="B27">
        <v>189395</v>
      </c>
      <c r="C27">
        <v>88451</v>
      </c>
      <c r="D27">
        <v>100944</v>
      </c>
      <c r="E27">
        <v>122592</v>
      </c>
      <c r="F27">
        <v>311987</v>
      </c>
    </row>
    <row r="28" spans="1:6" x14ac:dyDescent="0.2">
      <c r="A28">
        <v>2005</v>
      </c>
      <c r="B28">
        <v>167570</v>
      </c>
      <c r="C28">
        <v>88089</v>
      </c>
      <c r="D28">
        <v>79482</v>
      </c>
      <c r="E28">
        <v>92362</v>
      </c>
      <c r="F28">
        <v>259932</v>
      </c>
    </row>
    <row r="29" spans="1:6" x14ac:dyDescent="0.2">
      <c r="A29">
        <v>2006</v>
      </c>
      <c r="B29">
        <v>193768</v>
      </c>
      <c r="C29">
        <v>102733</v>
      </c>
      <c r="D29">
        <v>91035</v>
      </c>
      <c r="E29">
        <v>74817</v>
      </c>
      <c r="F29">
        <v>268585</v>
      </c>
    </row>
    <row r="30" spans="1:6" x14ac:dyDescent="0.2">
      <c r="A30">
        <v>2007</v>
      </c>
      <c r="B30">
        <v>110132</v>
      </c>
      <c r="C30">
        <v>61472</v>
      </c>
      <c r="D30">
        <v>48660</v>
      </c>
      <c r="E30">
        <v>86654</v>
      </c>
      <c r="F30">
        <v>196786</v>
      </c>
    </row>
    <row r="31" spans="1:6" x14ac:dyDescent="0.2">
      <c r="A31">
        <v>2008</v>
      </c>
      <c r="B31">
        <v>74267</v>
      </c>
      <c r="C31">
        <v>37097</v>
      </c>
      <c r="D31">
        <v>37170</v>
      </c>
      <c r="E31">
        <v>45942</v>
      </c>
      <c r="F31">
        <v>120209</v>
      </c>
    </row>
    <row r="32" spans="1:6" x14ac:dyDescent="0.2">
      <c r="A32">
        <v>2009</v>
      </c>
      <c r="B32">
        <v>111780</v>
      </c>
      <c r="C32">
        <v>51082</v>
      </c>
      <c r="D32">
        <v>60699</v>
      </c>
      <c r="E32">
        <v>73495</v>
      </c>
      <c r="F32">
        <v>185275</v>
      </c>
    </row>
    <row r="33" spans="1:6" x14ac:dyDescent="0.2">
      <c r="A33">
        <v>2010</v>
      </c>
      <c r="B33">
        <v>116354</v>
      </c>
      <c r="C33">
        <v>55471</v>
      </c>
      <c r="D33">
        <v>60883</v>
      </c>
      <c r="E33">
        <v>40647</v>
      </c>
      <c r="F33">
        <v>157001</v>
      </c>
    </row>
    <row r="34" spans="1:6" x14ac:dyDescent="0.2">
      <c r="A34">
        <v>2011</v>
      </c>
      <c r="B34">
        <v>139541</v>
      </c>
      <c r="C34">
        <v>61947</v>
      </c>
      <c r="D34">
        <v>77594</v>
      </c>
      <c r="E34">
        <v>73857</v>
      </c>
      <c r="F34">
        <v>213399</v>
      </c>
    </row>
    <row r="35" spans="1:6" x14ac:dyDescent="0.2">
      <c r="A35">
        <v>2012</v>
      </c>
      <c r="B35">
        <v>95840</v>
      </c>
      <c r="C35">
        <v>34922</v>
      </c>
      <c r="D35">
        <v>60918</v>
      </c>
      <c r="E35">
        <v>28700</v>
      </c>
      <c r="F35">
        <v>124540</v>
      </c>
    </row>
    <row r="36" spans="1:6" x14ac:dyDescent="0.2">
      <c r="A36">
        <v>2013</v>
      </c>
      <c r="B36">
        <v>84380</v>
      </c>
      <c r="C36">
        <v>36371</v>
      </c>
      <c r="D36">
        <v>48009</v>
      </c>
      <c r="E36">
        <v>29136</v>
      </c>
      <c r="F36">
        <v>113515</v>
      </c>
    </row>
    <row r="37" spans="1:6" x14ac:dyDescent="0.2">
      <c r="A37">
        <v>2014</v>
      </c>
      <c r="B37">
        <v>122759</v>
      </c>
      <c r="C37">
        <v>44056</v>
      </c>
      <c r="D37">
        <v>78703</v>
      </c>
      <c r="E37">
        <v>23881</v>
      </c>
      <c r="F37">
        <v>146640</v>
      </c>
    </row>
    <row r="38" spans="1:6" x14ac:dyDescent="0.2">
      <c r="A38">
        <v>2015</v>
      </c>
      <c r="B38">
        <v>142334</v>
      </c>
      <c r="C38">
        <v>61911</v>
      </c>
      <c r="D38">
        <v>80423</v>
      </c>
      <c r="E38">
        <v>31958</v>
      </c>
      <c r="F38">
        <v>174292</v>
      </c>
    </row>
    <row r="39" spans="1:6" x14ac:dyDescent="0.2">
      <c r="A39">
        <v>2016</v>
      </c>
      <c r="B39">
        <v>164451</v>
      </c>
      <c r="C39">
        <v>88649</v>
      </c>
      <c r="D39">
        <v>75802</v>
      </c>
      <c r="E39">
        <v>83441</v>
      </c>
      <c r="F39">
        <v>247892</v>
      </c>
    </row>
    <row r="40" spans="1:6" x14ac:dyDescent="0.2">
      <c r="A40">
        <v>2017</v>
      </c>
      <c r="B40">
        <v>75159</v>
      </c>
      <c r="C40">
        <v>43657</v>
      </c>
      <c r="D40">
        <v>31502</v>
      </c>
      <c r="E40">
        <v>23609</v>
      </c>
      <c r="F40">
        <v>98768</v>
      </c>
    </row>
    <row r="41" spans="1:6" x14ac:dyDescent="0.2">
      <c r="A41">
        <v>2018</v>
      </c>
      <c r="B41" s="1">
        <v>53859</v>
      </c>
      <c r="C41" s="1">
        <v>24256</v>
      </c>
      <c r="D41" s="1">
        <v>29603</v>
      </c>
      <c r="E41" s="1">
        <v>8950</v>
      </c>
      <c r="F41" s="1">
        <v>62809</v>
      </c>
    </row>
    <row r="42" spans="1:6" x14ac:dyDescent="0.2">
      <c r="A42">
        <v>2019</v>
      </c>
      <c r="B42" s="1">
        <v>76386</v>
      </c>
      <c r="C42" s="1">
        <v>16425</v>
      </c>
      <c r="D42" s="1">
        <v>59961</v>
      </c>
      <c r="E42" s="1">
        <v>12995</v>
      </c>
      <c r="F42" s="1">
        <v>89380</v>
      </c>
    </row>
    <row r="43" spans="1:6" x14ac:dyDescent="0.2">
      <c r="A43">
        <v>2020</v>
      </c>
      <c r="B43" s="1">
        <v>31653</v>
      </c>
      <c r="C43" s="1">
        <v>13369</v>
      </c>
      <c r="D43" s="1">
        <v>18284</v>
      </c>
      <c r="E43" s="1">
        <v>5931</v>
      </c>
      <c r="F43" s="1">
        <v>37584</v>
      </c>
    </row>
    <row r="44" spans="1:6" x14ac:dyDescent="0.2">
      <c r="A44">
        <v>2021</v>
      </c>
      <c r="B44" s="1">
        <v>79847</v>
      </c>
      <c r="C44" s="1">
        <v>5105</v>
      </c>
      <c r="D44" s="1">
        <v>74742</v>
      </c>
      <c r="E44" s="1">
        <v>5441</v>
      </c>
      <c r="F44" s="1">
        <v>85288</v>
      </c>
    </row>
    <row r="45" spans="1:6" x14ac:dyDescent="0.2">
      <c r="A45">
        <v>2022</v>
      </c>
      <c r="B45" s="1">
        <v>110450</v>
      </c>
      <c r="C45" s="1">
        <v>12428</v>
      </c>
      <c r="D45" s="1">
        <v>98022</v>
      </c>
      <c r="E45" s="1">
        <v>14064</v>
      </c>
      <c r="F45" s="1">
        <v>124515</v>
      </c>
    </row>
    <row r="46" spans="1:6" x14ac:dyDescent="0.2">
      <c r="A46">
        <v>2023</v>
      </c>
      <c r="B46" s="1">
        <v>73107</v>
      </c>
      <c r="C46" s="1">
        <v>17688</v>
      </c>
      <c r="D46" s="1">
        <v>55419</v>
      </c>
      <c r="E46" s="1">
        <v>9829</v>
      </c>
      <c r="F46" s="1">
        <v>82936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5576C-EC9F-45D0-920C-79EEAB503992}">
  <dimension ref="A1:H21"/>
  <sheetViews>
    <sheetView tabSelected="1" workbookViewId="0">
      <selection activeCell="H21" sqref="H21"/>
    </sheetView>
  </sheetViews>
  <sheetFormatPr baseColWidth="10" defaultColWidth="8.83203125" defaultRowHeight="15" x14ac:dyDescent="0.2"/>
  <sheetData>
    <row r="1" spans="1:8" x14ac:dyDescent="0.2">
      <c r="A1" s="5" t="s">
        <v>0</v>
      </c>
      <c r="B1" s="5" t="s">
        <v>16</v>
      </c>
      <c r="C1" s="5" t="s">
        <v>23</v>
      </c>
      <c r="D1" s="5" t="s">
        <v>17</v>
      </c>
      <c r="E1" s="5" t="s">
        <v>18</v>
      </c>
      <c r="F1" s="5" t="s">
        <v>19</v>
      </c>
      <c r="G1" s="5" t="s">
        <v>20</v>
      </c>
      <c r="H1" s="5" t="s">
        <v>21</v>
      </c>
    </row>
    <row r="2" spans="1:8" x14ac:dyDescent="0.2">
      <c r="A2" s="5">
        <v>2016</v>
      </c>
      <c r="B2" s="5" t="s">
        <v>24</v>
      </c>
      <c r="C2" s="5">
        <v>108</v>
      </c>
      <c r="D2" s="5" t="s">
        <v>25</v>
      </c>
      <c r="E2" s="5">
        <v>0.14499999999999999</v>
      </c>
      <c r="F2" s="5">
        <v>3.3000000000000002E-2</v>
      </c>
      <c r="G2" s="5">
        <v>0.09</v>
      </c>
      <c r="H2" s="5">
        <v>0.2</v>
      </c>
    </row>
    <row r="3" spans="1:8" x14ac:dyDescent="0.2">
      <c r="A3" s="5">
        <v>2017</v>
      </c>
      <c r="B3" s="5" t="s">
        <v>24</v>
      </c>
      <c r="C3" s="5">
        <v>108</v>
      </c>
      <c r="D3" s="5" t="s">
        <v>25</v>
      </c>
      <c r="E3" s="5">
        <v>7.0000000000000001E-3</v>
      </c>
      <c r="F3" s="5">
        <v>8.9999999999999993E-3</v>
      </c>
      <c r="G3" s="5">
        <v>0</v>
      </c>
      <c r="H3" s="5">
        <v>2.5999999999999999E-2</v>
      </c>
    </row>
    <row r="4" spans="1:8" x14ac:dyDescent="0.2">
      <c r="A4" s="5">
        <v>2018</v>
      </c>
      <c r="B4" s="5" t="s">
        <v>24</v>
      </c>
      <c r="C4" s="5">
        <v>108</v>
      </c>
      <c r="D4" s="5" t="s">
        <v>25</v>
      </c>
      <c r="E4" s="5">
        <v>5.0000000000000001E-3</v>
      </c>
      <c r="F4" s="5">
        <v>1.4E-2</v>
      </c>
      <c r="G4" s="5">
        <v>0</v>
      </c>
      <c r="H4" s="5">
        <v>3.4000000000000002E-2</v>
      </c>
    </row>
    <row r="5" spans="1:8" x14ac:dyDescent="0.2">
      <c r="A5" s="5">
        <v>2016</v>
      </c>
      <c r="B5" s="5" t="s">
        <v>24</v>
      </c>
      <c r="C5" s="5">
        <v>108</v>
      </c>
      <c r="D5" s="5" t="s">
        <v>26</v>
      </c>
      <c r="E5" s="5">
        <v>0.187</v>
      </c>
      <c r="F5" s="5">
        <v>3.7999999999999999E-2</v>
      </c>
      <c r="G5" s="5">
        <v>0.127</v>
      </c>
      <c r="H5" s="5">
        <v>0.251</v>
      </c>
    </row>
    <row r="6" spans="1:8" x14ac:dyDescent="0.2">
      <c r="A6" s="5">
        <v>2017</v>
      </c>
      <c r="B6" s="5" t="s">
        <v>24</v>
      </c>
      <c r="C6" s="5">
        <v>108</v>
      </c>
      <c r="D6" s="5" t="s">
        <v>26</v>
      </c>
      <c r="E6" s="5">
        <v>0.17299999999999999</v>
      </c>
      <c r="F6" s="5">
        <v>4.7E-2</v>
      </c>
      <c r="G6" s="5">
        <v>9.6000000000000002E-2</v>
      </c>
      <c r="H6" s="5">
        <v>0.251</v>
      </c>
    </row>
    <row r="7" spans="1:8" x14ac:dyDescent="0.2">
      <c r="A7" s="5">
        <v>2016</v>
      </c>
      <c r="B7" s="5" t="s">
        <v>24</v>
      </c>
      <c r="C7" s="5">
        <v>108</v>
      </c>
      <c r="D7" s="5" t="s">
        <v>27</v>
      </c>
      <c r="E7" s="5">
        <v>0.17399999999999999</v>
      </c>
      <c r="F7" s="5">
        <v>3.6999999999999998E-2</v>
      </c>
      <c r="G7" s="5">
        <v>0.115</v>
      </c>
      <c r="H7" s="5">
        <v>0.23599999999999999</v>
      </c>
    </row>
    <row r="8" spans="1:8" x14ac:dyDescent="0.2">
      <c r="A8" s="5">
        <v>2018</v>
      </c>
      <c r="B8" s="5" t="s">
        <v>24</v>
      </c>
      <c r="C8" s="5">
        <v>111</v>
      </c>
      <c r="D8" s="5" t="s">
        <v>25</v>
      </c>
      <c r="E8" s="5">
        <v>0</v>
      </c>
      <c r="F8" s="5">
        <v>2E-3</v>
      </c>
      <c r="G8" s="5">
        <v>0</v>
      </c>
      <c r="H8" s="5">
        <v>0</v>
      </c>
    </row>
    <row r="9" spans="1:8" x14ac:dyDescent="0.2">
      <c r="A9" s="5">
        <v>2016</v>
      </c>
      <c r="B9" s="5" t="s">
        <v>24</v>
      </c>
      <c r="C9" s="5">
        <v>111</v>
      </c>
      <c r="D9" s="5" t="s">
        <v>26</v>
      </c>
      <c r="E9" s="5">
        <v>3.0000000000000001E-3</v>
      </c>
      <c r="F9" s="5">
        <v>8.0000000000000002E-3</v>
      </c>
      <c r="G9" s="5">
        <v>0</v>
      </c>
      <c r="H9" s="5">
        <v>0.02</v>
      </c>
    </row>
    <row r="10" spans="1:8" x14ac:dyDescent="0.2">
      <c r="A10" s="5">
        <v>2017</v>
      </c>
      <c r="B10" s="5" t="s">
        <v>24</v>
      </c>
      <c r="C10" s="5">
        <v>111</v>
      </c>
      <c r="D10" s="5" t="s">
        <v>26</v>
      </c>
      <c r="E10" s="5">
        <v>0</v>
      </c>
      <c r="F10" s="5">
        <v>3.0000000000000001E-3</v>
      </c>
      <c r="G10" s="5">
        <v>0</v>
      </c>
      <c r="H10" s="5">
        <v>0</v>
      </c>
    </row>
    <row r="11" spans="1:8" x14ac:dyDescent="0.2">
      <c r="A11" s="5">
        <v>2018</v>
      </c>
      <c r="B11" s="5" t="s">
        <v>24</v>
      </c>
      <c r="C11" s="5">
        <v>111</v>
      </c>
      <c r="D11" s="5" t="s">
        <v>26</v>
      </c>
      <c r="E11" s="5">
        <v>0</v>
      </c>
      <c r="F11" s="5">
        <v>2E-3</v>
      </c>
      <c r="G11" s="5">
        <v>0</v>
      </c>
      <c r="H11" s="5">
        <v>0</v>
      </c>
    </row>
    <row r="12" spans="1:8" x14ac:dyDescent="0.2">
      <c r="A12" s="5">
        <v>2016</v>
      </c>
      <c r="B12" s="5" t="s">
        <v>22</v>
      </c>
      <c r="C12" s="5">
        <v>108</v>
      </c>
      <c r="D12" s="5" t="s">
        <v>25</v>
      </c>
      <c r="E12" s="5">
        <v>7.3999999999999996E-2</v>
      </c>
      <c r="F12" s="5">
        <v>2.7E-2</v>
      </c>
      <c r="G12" s="5">
        <v>3.5999999999999997E-2</v>
      </c>
      <c r="H12" s="5">
        <v>0.122</v>
      </c>
    </row>
    <row r="13" spans="1:8" x14ac:dyDescent="0.2">
      <c r="A13" s="5">
        <v>2017</v>
      </c>
      <c r="B13" s="5" t="s">
        <v>22</v>
      </c>
      <c r="C13" s="5">
        <v>108</v>
      </c>
      <c r="D13" s="5" t="s">
        <v>25</v>
      </c>
      <c r="E13" s="5">
        <v>1E-3</v>
      </c>
      <c r="F13" s="5">
        <v>4.0000000000000001E-3</v>
      </c>
      <c r="G13" s="5">
        <v>0</v>
      </c>
      <c r="H13" s="5">
        <v>6.9999999999999999E-4</v>
      </c>
    </row>
    <row r="14" spans="1:8" x14ac:dyDescent="0.2">
      <c r="A14" s="5">
        <v>2018</v>
      </c>
      <c r="B14" s="5" t="s">
        <v>22</v>
      </c>
      <c r="C14" s="5">
        <v>108</v>
      </c>
      <c r="D14" s="5" t="s">
        <v>25</v>
      </c>
      <c r="E14" s="5">
        <v>2E-3</v>
      </c>
      <c r="F14" s="5">
        <v>6.0000000000000001E-3</v>
      </c>
      <c r="G14" s="5">
        <v>0</v>
      </c>
      <c r="H14" s="5">
        <v>1.2999999999999999E-2</v>
      </c>
    </row>
    <row r="15" spans="1:8" x14ac:dyDescent="0.2">
      <c r="A15" s="5">
        <v>2016</v>
      </c>
      <c r="B15" s="5" t="s">
        <v>22</v>
      </c>
      <c r="C15" s="5">
        <v>108</v>
      </c>
      <c r="D15" s="5" t="s">
        <v>26</v>
      </c>
      <c r="E15" s="5">
        <v>0.11600000000000001</v>
      </c>
      <c r="F15" s="5">
        <v>3.1E-2</v>
      </c>
      <c r="G15" s="5">
        <v>6.8000000000000005E-2</v>
      </c>
      <c r="H15" s="5">
        <v>0.16900000000000001</v>
      </c>
    </row>
    <row r="16" spans="1:8" x14ac:dyDescent="0.2">
      <c r="A16" s="5">
        <v>2017</v>
      </c>
      <c r="B16" s="5" t="s">
        <v>22</v>
      </c>
      <c r="C16" s="5">
        <v>108</v>
      </c>
      <c r="D16" s="5" t="s">
        <v>26</v>
      </c>
      <c r="E16" s="5">
        <v>3.7999999999999999E-2</v>
      </c>
      <c r="F16" s="5">
        <v>3.5999999999999997E-2</v>
      </c>
      <c r="G16" s="5">
        <v>0</v>
      </c>
      <c r="H16" s="5">
        <v>0.106</v>
      </c>
    </row>
    <row r="17" spans="1:8" x14ac:dyDescent="0.2">
      <c r="A17" s="5">
        <v>2016</v>
      </c>
      <c r="B17" s="5" t="s">
        <v>22</v>
      </c>
      <c r="C17" s="5">
        <v>108</v>
      </c>
      <c r="D17" s="5" t="s">
        <v>27</v>
      </c>
      <c r="E17" s="5">
        <v>1.0999999999999999E-2</v>
      </c>
      <c r="F17" s="5">
        <v>1.9E-2</v>
      </c>
      <c r="G17" s="5">
        <v>0</v>
      </c>
      <c r="H17" s="5">
        <v>5.0999999999999997E-2</v>
      </c>
    </row>
    <row r="18" spans="1:8" x14ac:dyDescent="0.2">
      <c r="A18" s="5">
        <v>2018</v>
      </c>
      <c r="B18" s="5" t="s">
        <v>22</v>
      </c>
      <c r="C18" s="5">
        <v>111</v>
      </c>
      <c r="D18" s="5" t="s">
        <v>25</v>
      </c>
      <c r="E18" s="5">
        <v>0.11700000000000001</v>
      </c>
      <c r="F18" s="5">
        <v>3.7999999999999999E-2</v>
      </c>
      <c r="G18" s="5">
        <v>6.0999999999999999E-2</v>
      </c>
      <c r="H18" s="5">
        <v>0.184</v>
      </c>
    </row>
    <row r="19" spans="1:8" x14ac:dyDescent="0.2">
      <c r="A19" s="5">
        <v>2016</v>
      </c>
      <c r="B19" s="5" t="s">
        <v>22</v>
      </c>
      <c r="C19" s="5">
        <v>111</v>
      </c>
      <c r="D19" s="5" t="s">
        <v>26</v>
      </c>
      <c r="E19" s="5">
        <v>0.58399999999999996</v>
      </c>
      <c r="F19" s="5">
        <v>3.6999999999999998E-2</v>
      </c>
      <c r="G19" s="5">
        <v>0.52300000000000002</v>
      </c>
      <c r="H19" s="5">
        <v>0.64400000000000002</v>
      </c>
    </row>
    <row r="20" spans="1:8" x14ac:dyDescent="0.2">
      <c r="A20" s="5">
        <v>2017</v>
      </c>
      <c r="B20" s="5" t="s">
        <v>22</v>
      </c>
      <c r="C20" s="5">
        <v>111</v>
      </c>
      <c r="D20" s="5" t="s">
        <v>26</v>
      </c>
      <c r="E20" s="5">
        <v>0.03</v>
      </c>
      <c r="F20" s="5">
        <v>1.7000000000000001E-2</v>
      </c>
      <c r="G20" s="5">
        <v>8.0000000000000002E-3</v>
      </c>
      <c r="H20" s="5">
        <v>6.2E-2</v>
      </c>
    </row>
    <row r="21" spans="1:8" x14ac:dyDescent="0.2">
      <c r="A21" s="5">
        <v>2018</v>
      </c>
      <c r="B21" s="5" t="s">
        <v>22</v>
      </c>
      <c r="C21" s="5">
        <v>111</v>
      </c>
      <c r="D21" s="5" t="s">
        <v>26</v>
      </c>
      <c r="E21" s="5">
        <v>7.0000000000000001E-3</v>
      </c>
      <c r="F21" s="5">
        <v>0.01</v>
      </c>
      <c r="G21" s="5">
        <v>0</v>
      </c>
      <c r="H21" s="5">
        <v>2.9000000000000001E-2</v>
      </c>
    </row>
  </sheetData>
  <sortState xmlns:xlrd2="http://schemas.microsoft.com/office/spreadsheetml/2017/richdata2" ref="A2:H21">
    <sortCondition ref="B2:B21"/>
    <sortCondition ref="C2:C21"/>
    <sortCondition ref="D2:D21"/>
    <sortCondition ref="A2:A21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1D9CE-B7CC-4FB1-9F9A-6BF4E3ACD765}">
  <dimension ref="A1:H36"/>
  <sheetViews>
    <sheetView topLeftCell="A23" workbookViewId="0">
      <selection activeCell="I39" sqref="I39"/>
    </sheetView>
  </sheetViews>
  <sheetFormatPr baseColWidth="10" defaultColWidth="8.83203125" defaultRowHeight="15" x14ac:dyDescent="0.2"/>
  <cols>
    <col min="2" max="2" width="21.5" customWidth="1"/>
    <col min="3" max="5" width="12.33203125" customWidth="1"/>
    <col min="6" max="6" width="25.1640625" customWidth="1"/>
    <col min="7" max="8" width="12.33203125" customWidth="1"/>
  </cols>
  <sheetData>
    <row r="1" spans="1:8" x14ac:dyDescent="0.2">
      <c r="A1" t="s">
        <v>0</v>
      </c>
      <c r="B1" t="s">
        <v>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</row>
    <row r="2" spans="1:8" x14ac:dyDescent="0.2">
      <c r="A2">
        <v>1989</v>
      </c>
      <c r="B2">
        <v>40329</v>
      </c>
      <c r="C2">
        <v>29263</v>
      </c>
      <c r="D2">
        <v>51395</v>
      </c>
      <c r="E2">
        <v>1232</v>
      </c>
      <c r="F2">
        <v>41561</v>
      </c>
    </row>
    <row r="3" spans="1:8" x14ac:dyDescent="0.2">
      <c r="A3">
        <v>1990</v>
      </c>
      <c r="B3">
        <v>52142</v>
      </c>
      <c r="C3">
        <v>33863</v>
      </c>
      <c r="D3">
        <v>70421</v>
      </c>
      <c r="E3">
        <v>1606</v>
      </c>
      <c r="F3">
        <v>53748</v>
      </c>
    </row>
    <row r="4" spans="1:8" x14ac:dyDescent="0.2">
      <c r="A4">
        <v>1991</v>
      </c>
      <c r="B4">
        <v>51645</v>
      </c>
      <c r="C4">
        <v>17072</v>
      </c>
      <c r="D4">
        <v>86218</v>
      </c>
      <c r="E4">
        <v>1477</v>
      </c>
      <c r="F4">
        <v>53122</v>
      </c>
    </row>
    <row r="5" spans="1:8" x14ac:dyDescent="0.2">
      <c r="A5">
        <v>1992</v>
      </c>
      <c r="B5">
        <v>55889</v>
      </c>
      <c r="C5">
        <v>18475</v>
      </c>
      <c r="D5">
        <v>93303</v>
      </c>
      <c r="E5">
        <v>1866</v>
      </c>
      <c r="F5">
        <v>57755</v>
      </c>
    </row>
    <row r="6" spans="1:8" x14ac:dyDescent="0.2">
      <c r="A6">
        <v>1993</v>
      </c>
      <c r="B6">
        <v>66125</v>
      </c>
      <c r="C6">
        <v>21858</v>
      </c>
      <c r="D6">
        <v>110392</v>
      </c>
      <c r="E6">
        <v>1944</v>
      </c>
      <c r="F6">
        <v>68069</v>
      </c>
    </row>
    <row r="7" spans="1:8" x14ac:dyDescent="0.2">
      <c r="A7">
        <v>1994</v>
      </c>
      <c r="B7">
        <v>48368</v>
      </c>
      <c r="C7">
        <v>15989</v>
      </c>
      <c r="D7">
        <v>80747</v>
      </c>
      <c r="E7">
        <v>2484</v>
      </c>
      <c r="F7">
        <v>50852</v>
      </c>
    </row>
    <row r="8" spans="1:8" x14ac:dyDescent="0.2">
      <c r="A8">
        <v>1995</v>
      </c>
      <c r="B8">
        <v>33805</v>
      </c>
      <c r="C8">
        <v>23887</v>
      </c>
      <c r="D8">
        <v>43723</v>
      </c>
      <c r="E8">
        <v>1752</v>
      </c>
      <c r="F8">
        <v>35557</v>
      </c>
      <c r="G8">
        <v>6263</v>
      </c>
      <c r="H8">
        <v>41820</v>
      </c>
    </row>
    <row r="9" spans="1:8" x14ac:dyDescent="0.2">
      <c r="A9">
        <v>1996</v>
      </c>
      <c r="B9">
        <v>79019</v>
      </c>
      <c r="C9">
        <v>61285</v>
      </c>
      <c r="D9">
        <v>96753</v>
      </c>
      <c r="E9">
        <v>3499</v>
      </c>
      <c r="F9">
        <v>82518</v>
      </c>
      <c r="G9">
        <v>6280</v>
      </c>
      <c r="H9">
        <v>88798</v>
      </c>
    </row>
    <row r="10" spans="1:8" x14ac:dyDescent="0.2">
      <c r="A10">
        <v>1997</v>
      </c>
      <c r="B10">
        <v>114938</v>
      </c>
      <c r="C10">
        <v>79878</v>
      </c>
      <c r="D10">
        <v>149998</v>
      </c>
      <c r="E10">
        <v>2939</v>
      </c>
      <c r="F10">
        <v>117877</v>
      </c>
      <c r="G10">
        <v>8325</v>
      </c>
      <c r="H10">
        <v>126202</v>
      </c>
    </row>
    <row r="11" spans="1:8" x14ac:dyDescent="0.2">
      <c r="A11">
        <v>1998</v>
      </c>
      <c r="B11">
        <v>31039</v>
      </c>
      <c r="C11">
        <v>10255</v>
      </c>
      <c r="D11">
        <v>51823</v>
      </c>
      <c r="E11">
        <v>1272</v>
      </c>
      <c r="F11">
        <v>32311</v>
      </c>
      <c r="G11">
        <v>2605</v>
      </c>
      <c r="H11">
        <v>34916</v>
      </c>
    </row>
    <row r="12" spans="1:8" x14ac:dyDescent="0.2">
      <c r="A12">
        <v>1999</v>
      </c>
      <c r="B12">
        <v>16786</v>
      </c>
      <c r="C12">
        <v>10571</v>
      </c>
      <c r="D12">
        <v>23001</v>
      </c>
      <c r="E12">
        <v>1640</v>
      </c>
      <c r="F12">
        <v>18426</v>
      </c>
      <c r="G12">
        <v>4019</v>
      </c>
      <c r="H12">
        <v>22445</v>
      </c>
    </row>
    <row r="13" spans="1:8" x14ac:dyDescent="0.2">
      <c r="A13">
        <v>2000</v>
      </c>
      <c r="B13">
        <v>34997</v>
      </c>
      <c r="C13">
        <v>24407</v>
      </c>
      <c r="D13">
        <v>45587</v>
      </c>
      <c r="E13">
        <v>3043</v>
      </c>
      <c r="F13">
        <v>38040</v>
      </c>
      <c r="G13">
        <v>3472</v>
      </c>
      <c r="H13">
        <v>41512</v>
      </c>
    </row>
    <row r="14" spans="1:8" x14ac:dyDescent="0.2">
      <c r="A14">
        <v>2001</v>
      </c>
      <c r="B14">
        <v>46644</v>
      </c>
      <c r="C14">
        <v>33383</v>
      </c>
      <c r="D14">
        <v>59905</v>
      </c>
      <c r="E14">
        <v>2863</v>
      </c>
      <c r="F14">
        <v>49507</v>
      </c>
      <c r="G14">
        <v>3883</v>
      </c>
      <c r="H14">
        <v>53390</v>
      </c>
    </row>
    <row r="15" spans="1:8" x14ac:dyDescent="0.2">
      <c r="A15">
        <v>2002</v>
      </c>
      <c r="B15">
        <v>55044</v>
      </c>
      <c r="C15">
        <v>33313</v>
      </c>
      <c r="D15">
        <v>76775</v>
      </c>
      <c r="E15">
        <v>3014</v>
      </c>
      <c r="F15">
        <v>58058</v>
      </c>
      <c r="G15">
        <v>3282</v>
      </c>
      <c r="H15">
        <v>61340</v>
      </c>
    </row>
    <row r="16" spans="1:8" x14ac:dyDescent="0.2">
      <c r="A16">
        <v>2003</v>
      </c>
      <c r="B16">
        <v>36435</v>
      </c>
      <c r="C16">
        <v>23293</v>
      </c>
      <c r="D16">
        <v>49577</v>
      </c>
      <c r="E16">
        <v>3679</v>
      </c>
      <c r="F16">
        <v>40114</v>
      </c>
      <c r="G16">
        <v>2768</v>
      </c>
      <c r="H16">
        <v>42882</v>
      </c>
    </row>
    <row r="17" spans="1:8" x14ac:dyDescent="0.2">
      <c r="A17">
        <v>2004</v>
      </c>
      <c r="B17">
        <v>75032</v>
      </c>
      <c r="C17">
        <v>54883</v>
      </c>
      <c r="D17">
        <v>95181</v>
      </c>
      <c r="E17">
        <v>3953</v>
      </c>
      <c r="F17">
        <v>78985</v>
      </c>
      <c r="G17">
        <v>3696</v>
      </c>
      <c r="H17">
        <v>82681</v>
      </c>
    </row>
    <row r="18" spans="1:8" x14ac:dyDescent="0.2">
      <c r="A18">
        <v>2005</v>
      </c>
      <c r="B18">
        <v>38599</v>
      </c>
      <c r="C18">
        <v>28980</v>
      </c>
      <c r="D18">
        <v>48219</v>
      </c>
      <c r="E18">
        <v>7716</v>
      </c>
      <c r="F18">
        <v>46315</v>
      </c>
      <c r="G18">
        <v>19019</v>
      </c>
      <c r="H18">
        <v>65334</v>
      </c>
    </row>
    <row r="19" spans="1:8" x14ac:dyDescent="0.2">
      <c r="A19">
        <v>2006</v>
      </c>
      <c r="B19">
        <v>42191</v>
      </c>
      <c r="C19">
        <v>31343</v>
      </c>
      <c r="D19">
        <v>53040</v>
      </c>
      <c r="E19">
        <v>8334</v>
      </c>
      <c r="F19">
        <v>50525</v>
      </c>
      <c r="G19">
        <v>11334</v>
      </c>
      <c r="H19">
        <v>61859</v>
      </c>
    </row>
    <row r="20" spans="1:8" x14ac:dyDescent="0.2">
      <c r="A20">
        <v>2007</v>
      </c>
      <c r="B20">
        <v>14749</v>
      </c>
      <c r="C20">
        <v>8326</v>
      </c>
      <c r="D20">
        <v>21172</v>
      </c>
      <c r="E20">
        <v>2542</v>
      </c>
      <c r="F20">
        <v>17291</v>
      </c>
      <c r="G20">
        <v>1359</v>
      </c>
      <c r="H20">
        <v>18650</v>
      </c>
    </row>
    <row r="21" spans="1:8" x14ac:dyDescent="0.2">
      <c r="A21">
        <v>2008</v>
      </c>
      <c r="B21">
        <v>26645</v>
      </c>
      <c r="C21">
        <v>20744</v>
      </c>
      <c r="D21">
        <v>32545</v>
      </c>
      <c r="E21">
        <v>2418</v>
      </c>
      <c r="F21">
        <v>29063</v>
      </c>
      <c r="G21">
        <v>1123</v>
      </c>
      <c r="H21">
        <v>30186</v>
      </c>
    </row>
    <row r="22" spans="1:8" x14ac:dyDescent="0.2">
      <c r="A22">
        <v>2009</v>
      </c>
      <c r="B22">
        <v>22761</v>
      </c>
      <c r="C22">
        <v>17134</v>
      </c>
      <c r="D22">
        <v>28388</v>
      </c>
      <c r="E22">
        <v>7036</v>
      </c>
      <c r="F22">
        <v>29797</v>
      </c>
      <c r="G22">
        <v>5309</v>
      </c>
      <c r="H22">
        <v>35106</v>
      </c>
    </row>
    <row r="23" spans="1:8" x14ac:dyDescent="0.2">
      <c r="A23">
        <v>2010</v>
      </c>
      <c r="B23">
        <v>28769</v>
      </c>
      <c r="C23">
        <v>23840</v>
      </c>
      <c r="D23">
        <v>33698</v>
      </c>
      <c r="E23">
        <v>5469</v>
      </c>
      <c r="F23">
        <v>34238</v>
      </c>
      <c r="G23">
        <v>1546</v>
      </c>
      <c r="H23">
        <v>35784</v>
      </c>
    </row>
    <row r="24" spans="1:8" x14ac:dyDescent="0.2">
      <c r="A24">
        <v>2011</v>
      </c>
      <c r="B24">
        <v>19672</v>
      </c>
      <c r="C24">
        <v>12938</v>
      </c>
      <c r="D24">
        <v>26406</v>
      </c>
      <c r="E24">
        <v>3277</v>
      </c>
      <c r="F24">
        <v>22949</v>
      </c>
      <c r="G24">
        <v>1139</v>
      </c>
      <c r="H24">
        <v>24088</v>
      </c>
    </row>
    <row r="25" spans="1:8" x14ac:dyDescent="0.2">
      <c r="A25">
        <v>2012</v>
      </c>
      <c r="B25">
        <v>16713</v>
      </c>
      <c r="C25">
        <v>10992</v>
      </c>
      <c r="D25">
        <v>22434</v>
      </c>
      <c r="E25">
        <v>2965</v>
      </c>
      <c r="F25">
        <v>19678</v>
      </c>
      <c r="G25">
        <v>1405</v>
      </c>
      <c r="H25">
        <v>21083</v>
      </c>
    </row>
    <row r="26" spans="1:8" x14ac:dyDescent="0.2">
      <c r="A26">
        <v>2013</v>
      </c>
      <c r="B26">
        <v>18002</v>
      </c>
      <c r="C26">
        <v>4500</v>
      </c>
      <c r="D26">
        <v>31504</v>
      </c>
      <c r="E26">
        <v>738</v>
      </c>
      <c r="F26">
        <v>18740</v>
      </c>
      <c r="G26">
        <v>648</v>
      </c>
      <c r="H26">
        <v>19388</v>
      </c>
    </row>
    <row r="27" spans="1:8" x14ac:dyDescent="0.2">
      <c r="A27">
        <v>2014</v>
      </c>
      <c r="B27">
        <v>23532</v>
      </c>
      <c r="C27">
        <v>19187</v>
      </c>
      <c r="D27">
        <v>27877</v>
      </c>
      <c r="E27">
        <v>2472</v>
      </c>
      <c r="F27">
        <v>26004</v>
      </c>
      <c r="G27">
        <v>1320</v>
      </c>
      <c r="H27">
        <v>27324</v>
      </c>
    </row>
    <row r="28" spans="1:8" x14ac:dyDescent="0.2">
      <c r="A28">
        <v>2015</v>
      </c>
      <c r="B28">
        <v>23567</v>
      </c>
      <c r="C28">
        <v>20512</v>
      </c>
      <c r="D28">
        <v>26622</v>
      </c>
      <c r="E28">
        <v>2447</v>
      </c>
      <c r="F28">
        <v>26014</v>
      </c>
      <c r="G28">
        <v>784</v>
      </c>
      <c r="H28">
        <v>26798</v>
      </c>
    </row>
    <row r="29" spans="1:8" x14ac:dyDescent="0.2">
      <c r="A29">
        <v>2016</v>
      </c>
      <c r="B29">
        <v>9177</v>
      </c>
      <c r="C29">
        <v>8114</v>
      </c>
      <c r="D29">
        <v>10240</v>
      </c>
      <c r="E29">
        <v>1630</v>
      </c>
      <c r="F29">
        <v>10807</v>
      </c>
      <c r="G29">
        <v>824</v>
      </c>
      <c r="H29">
        <v>11631</v>
      </c>
    </row>
    <row r="30" spans="1:8" x14ac:dyDescent="0.2">
      <c r="A30">
        <v>2017</v>
      </c>
      <c r="B30">
        <v>8214</v>
      </c>
      <c r="C30">
        <v>6679</v>
      </c>
      <c r="D30">
        <v>9749</v>
      </c>
      <c r="E30">
        <v>250</v>
      </c>
      <c r="F30">
        <v>8464</v>
      </c>
      <c r="G30">
        <v>179</v>
      </c>
      <c r="H30">
        <v>8643</v>
      </c>
    </row>
    <row r="31" spans="1:8" x14ac:dyDescent="0.2">
      <c r="A31">
        <v>2018</v>
      </c>
      <c r="B31">
        <v>7271</v>
      </c>
      <c r="C31">
        <v>5745</v>
      </c>
      <c r="D31">
        <v>8798</v>
      </c>
      <c r="E31">
        <v>7</v>
      </c>
      <c r="F31">
        <v>7278</v>
      </c>
      <c r="G31">
        <v>50</v>
      </c>
      <c r="H31">
        <v>7328</v>
      </c>
    </row>
    <row r="32" spans="1:8" x14ac:dyDescent="0.2">
      <c r="A32">
        <v>2019</v>
      </c>
      <c r="B32">
        <v>11558</v>
      </c>
      <c r="C32">
        <v>8802</v>
      </c>
      <c r="D32">
        <v>14314</v>
      </c>
      <c r="E32">
        <v>10</v>
      </c>
      <c r="F32">
        <v>11568</v>
      </c>
      <c r="G32">
        <v>229</v>
      </c>
      <c r="H32">
        <v>11797</v>
      </c>
    </row>
    <row r="33" spans="1:8" x14ac:dyDescent="0.2">
      <c r="A33">
        <v>2020</v>
      </c>
      <c r="B33" s="1">
        <v>15593</v>
      </c>
      <c r="C33" s="1">
        <v>9617</v>
      </c>
      <c r="D33" s="1">
        <v>21569</v>
      </c>
      <c r="E33" s="1">
        <v>94</v>
      </c>
      <c r="F33" s="1">
        <v>15687</v>
      </c>
      <c r="G33" s="1">
        <v>323</v>
      </c>
      <c r="H33" s="1">
        <v>16010</v>
      </c>
    </row>
    <row r="34" spans="1:8" x14ac:dyDescent="0.2">
      <c r="A34">
        <v>2021</v>
      </c>
      <c r="B34" s="1">
        <v>11341</v>
      </c>
      <c r="C34" s="1">
        <v>2834</v>
      </c>
      <c r="D34" s="1">
        <v>19848</v>
      </c>
      <c r="E34" s="1">
        <v>40</v>
      </c>
      <c r="F34" s="1">
        <v>11381</v>
      </c>
      <c r="G34" s="1">
        <v>333</v>
      </c>
      <c r="H34" s="1">
        <v>11718</v>
      </c>
    </row>
    <row r="35" spans="1:8" x14ac:dyDescent="0.2">
      <c r="A35">
        <v>2022</v>
      </c>
      <c r="B35" s="1">
        <v>12722</v>
      </c>
      <c r="C35" s="1">
        <v>6726</v>
      </c>
      <c r="D35" s="1">
        <v>18718</v>
      </c>
      <c r="E35" s="1">
        <v>33</v>
      </c>
      <c r="F35" s="1">
        <v>12755</v>
      </c>
      <c r="G35" s="1">
        <v>207</v>
      </c>
      <c r="H35" s="1">
        <v>12962</v>
      </c>
    </row>
    <row r="36" spans="1:8" x14ac:dyDescent="0.2">
      <c r="A36">
        <v>2023</v>
      </c>
      <c r="B36" s="1">
        <v>14755</v>
      </c>
      <c r="C36" s="1">
        <v>10975</v>
      </c>
      <c r="D36" s="1">
        <v>18535</v>
      </c>
      <c r="E36" s="1">
        <v>25</v>
      </c>
      <c r="F36" s="1">
        <v>14780</v>
      </c>
      <c r="G36" s="1">
        <v>267</v>
      </c>
      <c r="H36" s="1">
        <v>15047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9E15F-45E5-4657-A0F4-93AE7540D79D}">
  <dimension ref="A1:E21"/>
  <sheetViews>
    <sheetView topLeftCell="G1" workbookViewId="0">
      <selection activeCell="G10" sqref="G10"/>
    </sheetView>
  </sheetViews>
  <sheetFormatPr baseColWidth="10" defaultColWidth="8.83203125" defaultRowHeight="15" x14ac:dyDescent="0.2"/>
  <sheetData>
    <row r="1" spans="1:5" x14ac:dyDescent="0.2">
      <c r="A1" s="6" t="s">
        <v>0</v>
      </c>
      <c r="B1" s="6" t="s">
        <v>28</v>
      </c>
      <c r="C1" s="6" t="s">
        <v>29</v>
      </c>
      <c r="D1" s="6" t="s">
        <v>30</v>
      </c>
      <c r="E1" s="6" t="s">
        <v>31</v>
      </c>
    </row>
    <row r="2" spans="1:5" x14ac:dyDescent="0.2">
      <c r="A2" s="6">
        <v>2004</v>
      </c>
      <c r="B2" s="6">
        <v>0.53800000000000003</v>
      </c>
      <c r="C2" s="6">
        <v>0.85899999999999999</v>
      </c>
      <c r="D2" s="6">
        <v>0.65500000000000003</v>
      </c>
      <c r="E2" s="6">
        <v>0.29899999999999999</v>
      </c>
    </row>
    <row r="3" spans="1:5" x14ac:dyDescent="0.2">
      <c r="A3" s="6">
        <v>2005</v>
      </c>
      <c r="B3" s="6">
        <v>0.57799999999999996</v>
      </c>
      <c r="C3" s="6">
        <v>0.91900000000000004</v>
      </c>
      <c r="D3" s="6">
        <v>0.73799999999999999</v>
      </c>
      <c r="E3" s="6">
        <v>0.88700000000000001</v>
      </c>
    </row>
    <row r="4" spans="1:5" x14ac:dyDescent="0.2">
      <c r="A4" s="6">
        <v>2006</v>
      </c>
      <c r="B4" s="6">
        <v>0.65200000000000002</v>
      </c>
      <c r="C4" s="6">
        <v>0.90500000000000003</v>
      </c>
      <c r="D4" s="6">
        <v>0.71799999999999997</v>
      </c>
      <c r="E4" s="6">
        <v>0.64200000000000002</v>
      </c>
    </row>
    <row r="5" spans="1:5" x14ac:dyDescent="0.2">
      <c r="A5" s="6">
        <v>2007</v>
      </c>
      <c r="B5" s="6">
        <v>0.45100000000000001</v>
      </c>
      <c r="C5" s="6">
        <v>0.49199999999999999</v>
      </c>
      <c r="D5" s="6">
        <v>0.60399999999999998</v>
      </c>
      <c r="E5" s="6">
        <v>0.48899999999999999</v>
      </c>
    </row>
    <row r="6" spans="1:5" x14ac:dyDescent="0.2">
      <c r="A6" s="6">
        <v>2008</v>
      </c>
      <c r="B6" s="6">
        <v>0.22600000000000001</v>
      </c>
      <c r="C6" s="6">
        <v>0.48299999999999998</v>
      </c>
      <c r="D6" s="6">
        <v>0.61399999999999999</v>
      </c>
      <c r="E6" s="6">
        <v>0.38700000000000001</v>
      </c>
    </row>
    <row r="7" spans="1:5" x14ac:dyDescent="0.2">
      <c r="A7" s="6">
        <v>2009</v>
      </c>
      <c r="B7" s="6">
        <v>0.255</v>
      </c>
      <c r="C7" s="6">
        <v>0.81299999999999994</v>
      </c>
      <c r="D7" s="6">
        <v>0.51700000000000002</v>
      </c>
      <c r="E7" s="6">
        <v>0.128</v>
      </c>
    </row>
    <row r="8" spans="1:5" x14ac:dyDescent="0.2">
      <c r="A8" s="6">
        <v>2010</v>
      </c>
      <c r="B8" s="6">
        <v>0.45300000000000001</v>
      </c>
      <c r="C8" s="6">
        <v>0.53900000000000003</v>
      </c>
      <c r="D8" s="6">
        <v>0.54600000000000004</v>
      </c>
      <c r="E8" s="6">
        <v>0.215</v>
      </c>
    </row>
    <row r="9" spans="1:5" x14ac:dyDescent="0.2">
      <c r="A9" s="6">
        <v>2011</v>
      </c>
      <c r="B9" s="6">
        <v>0.45400000000000001</v>
      </c>
      <c r="C9" s="6">
        <v>0.80900000000000005</v>
      </c>
      <c r="D9" s="6">
        <v>0.50900000000000001</v>
      </c>
      <c r="E9" s="6">
        <v>0.34599999999999997</v>
      </c>
    </row>
    <row r="10" spans="1:5" x14ac:dyDescent="0.2">
      <c r="A10" s="6">
        <v>2012</v>
      </c>
      <c r="B10" s="6">
        <v>0.49399999999999999</v>
      </c>
      <c r="C10" s="6">
        <v>0.876</v>
      </c>
      <c r="D10" s="6">
        <v>0.42299999999999999</v>
      </c>
      <c r="E10" s="6">
        <v>0.248</v>
      </c>
    </row>
    <row r="11" spans="1:5" x14ac:dyDescent="0.2">
      <c r="A11" s="6">
        <v>2013</v>
      </c>
      <c r="B11" s="6">
        <v>0.125</v>
      </c>
      <c r="C11" s="6">
        <v>0.753</v>
      </c>
      <c r="D11" s="6">
        <v>0.49</v>
      </c>
      <c r="E11" s="6">
        <v>6.8000000000000005E-2</v>
      </c>
    </row>
    <row r="12" spans="1:5" x14ac:dyDescent="0.2">
      <c r="A12" s="6">
        <v>2014</v>
      </c>
      <c r="B12" s="6">
        <v>0.39600000000000002</v>
      </c>
      <c r="C12" s="6">
        <v>0.63500000000000001</v>
      </c>
      <c r="D12" s="6">
        <v>0.35399999999999998</v>
      </c>
      <c r="E12" s="6">
        <v>4.2999999999999997E-2</v>
      </c>
    </row>
    <row r="13" spans="1:5" x14ac:dyDescent="0.2">
      <c r="A13" s="6">
        <v>2015</v>
      </c>
      <c r="B13" s="6">
        <v>0.48599999999999999</v>
      </c>
      <c r="C13" s="6">
        <v>0.59199999999999997</v>
      </c>
      <c r="D13" s="6">
        <v>0.44900000000000001</v>
      </c>
      <c r="E13" s="6">
        <v>4.7E-2</v>
      </c>
    </row>
    <row r="14" spans="1:5" x14ac:dyDescent="0.2">
      <c r="A14" s="6">
        <v>2016</v>
      </c>
      <c r="B14" s="6">
        <v>0.58699999999999997</v>
      </c>
      <c r="C14" s="6">
        <v>0.749</v>
      </c>
      <c r="D14" s="6">
        <v>0.30399999999999999</v>
      </c>
      <c r="E14" s="6">
        <v>0.22</v>
      </c>
    </row>
    <row r="15" spans="1:5" x14ac:dyDescent="0.2">
      <c r="A15" s="6">
        <v>2017</v>
      </c>
      <c r="B15" s="6">
        <v>3.1E-2</v>
      </c>
      <c r="C15" s="6">
        <v>0.46400000000000002</v>
      </c>
      <c r="D15" s="6">
        <v>0.21199999999999999</v>
      </c>
      <c r="E15" s="6">
        <v>8.0000000000000002E-3</v>
      </c>
    </row>
    <row r="16" spans="1:5" x14ac:dyDescent="0.2">
      <c r="A16" s="6">
        <v>2018</v>
      </c>
      <c r="B16" s="6">
        <v>7.0000000000000001E-3</v>
      </c>
      <c r="C16" s="6">
        <v>0.11799999999999999</v>
      </c>
      <c r="D16" s="6"/>
      <c r="E16" s="6">
        <v>6.0000000000000001E-3</v>
      </c>
    </row>
    <row r="17" spans="1:5" x14ac:dyDescent="0.2">
      <c r="A17" s="6">
        <v>2019</v>
      </c>
      <c r="B17" s="6">
        <v>3.5999999999999997E-2</v>
      </c>
      <c r="C17" s="6">
        <v>0.27400000000000002</v>
      </c>
      <c r="D17" s="6">
        <v>1.2E-2</v>
      </c>
      <c r="E17" s="6">
        <v>4.5999999999999999E-2</v>
      </c>
    </row>
    <row r="18" spans="1:5" x14ac:dyDescent="0.2">
      <c r="A18" s="6">
        <v>2020</v>
      </c>
      <c r="B18" s="6">
        <v>5.5E-2</v>
      </c>
      <c r="C18" s="6">
        <v>0.35499999999999998</v>
      </c>
      <c r="D18" s="6"/>
      <c r="E18" s="6">
        <v>5.7000000000000002E-2</v>
      </c>
    </row>
    <row r="19" spans="1:5" x14ac:dyDescent="0.2">
      <c r="A19" s="6">
        <v>2021</v>
      </c>
      <c r="B19" s="6">
        <v>7.0000000000000007E-2</v>
      </c>
      <c r="C19" s="6">
        <v>0.59299999999999997</v>
      </c>
      <c r="D19" s="6"/>
      <c r="E19" s="6"/>
    </row>
    <row r="20" spans="1:5" x14ac:dyDescent="0.2">
      <c r="A20" s="6">
        <v>2022</v>
      </c>
      <c r="B20" s="6">
        <v>4.3999999999999997E-2</v>
      </c>
      <c r="C20" s="6">
        <v>0.112</v>
      </c>
      <c r="D20" s="6">
        <v>3.2000000000000001E-2</v>
      </c>
      <c r="E20" s="6">
        <v>0.24399999999999999</v>
      </c>
    </row>
    <row r="21" spans="1:5" x14ac:dyDescent="0.2">
      <c r="A21" s="6">
        <v>2023</v>
      </c>
      <c r="B21" s="6">
        <v>0.105</v>
      </c>
      <c r="C21" s="6">
        <v>0.59799999999999998</v>
      </c>
      <c r="D21" s="6">
        <v>0</v>
      </c>
      <c r="E21" s="6">
        <v>0.308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45292-89B8-C34C-9811-775368BB53A5}">
  <dimension ref="A1:P88"/>
  <sheetViews>
    <sheetView topLeftCell="A52" workbookViewId="0">
      <selection activeCell="A66" sqref="A66"/>
    </sheetView>
  </sheetViews>
  <sheetFormatPr baseColWidth="10" defaultColWidth="10.83203125" defaultRowHeight="15" x14ac:dyDescent="0.2"/>
  <sheetData>
    <row r="1" spans="1:6" x14ac:dyDescent="0.2">
      <c r="A1" s="1" t="s">
        <v>0</v>
      </c>
      <c r="B1" s="1" t="s">
        <v>13</v>
      </c>
      <c r="C1" s="1" t="s">
        <v>14</v>
      </c>
      <c r="D1" s="1" t="s">
        <v>15</v>
      </c>
      <c r="E1" s="1" t="s">
        <v>11</v>
      </c>
      <c r="F1" s="1" t="s">
        <v>12</v>
      </c>
    </row>
    <row r="2" spans="1:6" x14ac:dyDescent="0.2">
      <c r="A2" s="1">
        <v>1960</v>
      </c>
      <c r="B2" s="1">
        <v>8810</v>
      </c>
      <c r="C2" s="1">
        <v>42819</v>
      </c>
      <c r="D2" s="1">
        <v>22374</v>
      </c>
      <c r="E2" s="1">
        <v>33155</v>
      </c>
      <c r="F2" s="1">
        <v>41852</v>
      </c>
    </row>
    <row r="3" spans="1:6" x14ac:dyDescent="0.2">
      <c r="A3" s="1">
        <v>1961</v>
      </c>
      <c r="B3" s="1">
        <v>7434</v>
      </c>
      <c r="C3" s="1">
        <v>45981</v>
      </c>
      <c r="D3" s="1">
        <v>15486</v>
      </c>
      <c r="E3" s="1">
        <v>41455</v>
      </c>
      <c r="F3" s="1">
        <v>24433</v>
      </c>
    </row>
    <row r="4" spans="1:6" x14ac:dyDescent="0.2">
      <c r="A4" s="1">
        <v>1962</v>
      </c>
      <c r="B4" s="1">
        <v>5931</v>
      </c>
      <c r="C4" s="1">
        <v>36745</v>
      </c>
      <c r="D4" s="1">
        <v>15661</v>
      </c>
      <c r="E4" s="1">
        <v>17280</v>
      </c>
      <c r="F4" s="1">
        <v>20635</v>
      </c>
    </row>
    <row r="5" spans="1:6" x14ac:dyDescent="0.2">
      <c r="A5" s="1">
        <v>1963</v>
      </c>
      <c r="B5" s="1">
        <v>2652</v>
      </c>
      <c r="C5" s="1">
        <v>24119</v>
      </c>
      <c r="D5" s="1">
        <v>10855</v>
      </c>
      <c r="E5" s="1">
        <v>21692</v>
      </c>
      <c r="F5" s="1">
        <v>20114</v>
      </c>
    </row>
    <row r="6" spans="1:6" x14ac:dyDescent="0.2">
      <c r="A6" s="1">
        <v>1964</v>
      </c>
      <c r="B6" s="1">
        <v>2509</v>
      </c>
      <c r="C6" s="1">
        <v>34140</v>
      </c>
      <c r="D6" s="1">
        <v>29315</v>
      </c>
      <c r="E6" s="1">
        <v>26593</v>
      </c>
      <c r="F6" s="1">
        <v>12853</v>
      </c>
    </row>
    <row r="7" spans="1:6" x14ac:dyDescent="0.2">
      <c r="A7" s="1">
        <v>1965</v>
      </c>
      <c r="B7" s="1">
        <v>4170</v>
      </c>
      <c r="C7" s="1">
        <v>27569</v>
      </c>
      <c r="D7" s="1">
        <v>32667</v>
      </c>
      <c r="E7" s="1">
        <v>2768</v>
      </c>
      <c r="F7" s="1">
        <v>11533</v>
      </c>
    </row>
    <row r="8" spans="1:6" x14ac:dyDescent="0.2">
      <c r="A8" s="1">
        <v>1966</v>
      </c>
      <c r="B8" s="1">
        <v>4829</v>
      </c>
      <c r="C8" s="1">
        <v>33925</v>
      </c>
      <c r="D8" s="1">
        <v>26065</v>
      </c>
      <c r="E8" s="1">
        <v>23833</v>
      </c>
      <c r="F8" s="1">
        <v>35133</v>
      </c>
    </row>
    <row r="9" spans="1:6" x14ac:dyDescent="0.2">
      <c r="A9" s="1">
        <v>1967</v>
      </c>
      <c r="B9" s="1">
        <v>5417</v>
      </c>
      <c r="C9" s="1">
        <v>17735</v>
      </c>
      <c r="D9" s="1">
        <v>40391</v>
      </c>
      <c r="E9" s="1">
        <v>12372</v>
      </c>
      <c r="F9" s="1">
        <v>22834</v>
      </c>
    </row>
    <row r="10" spans="1:6" x14ac:dyDescent="0.2">
      <c r="A10" s="1">
        <v>1968</v>
      </c>
      <c r="B10" s="1">
        <v>4904</v>
      </c>
      <c r="C10" s="1">
        <v>19501</v>
      </c>
      <c r="D10" s="1">
        <v>39103</v>
      </c>
      <c r="E10" s="1">
        <v>67365</v>
      </c>
      <c r="F10" s="1">
        <v>21890</v>
      </c>
    </row>
    <row r="11" spans="1:6" x14ac:dyDescent="0.2">
      <c r="A11" s="1">
        <v>1969</v>
      </c>
      <c r="B11" s="1">
        <v>6986</v>
      </c>
      <c r="C11" s="1">
        <v>41222</v>
      </c>
      <c r="D11" s="1">
        <v>10802</v>
      </c>
      <c r="E11" s="1">
        <v>74178</v>
      </c>
      <c r="F11" s="1">
        <v>15046</v>
      </c>
    </row>
    <row r="12" spans="1:6" x14ac:dyDescent="0.2">
      <c r="A12" s="1">
        <v>1970</v>
      </c>
      <c r="B12" s="1">
        <v>3357</v>
      </c>
      <c r="C12" s="1">
        <v>50862</v>
      </c>
      <c r="D12" s="1">
        <v>44569</v>
      </c>
      <c r="E12" s="1">
        <v>196237</v>
      </c>
      <c r="F12" s="1">
        <v>110621</v>
      </c>
    </row>
    <row r="13" spans="1:6" x14ac:dyDescent="0.2">
      <c r="A13" s="1">
        <v>1971</v>
      </c>
      <c r="B13" s="1">
        <v>6945</v>
      </c>
      <c r="C13" s="1">
        <v>66261</v>
      </c>
      <c r="D13" s="1">
        <v>41588</v>
      </c>
      <c r="E13" s="1">
        <v>31296</v>
      </c>
      <c r="F13" s="1">
        <v>90964</v>
      </c>
    </row>
    <row r="14" spans="1:6" x14ac:dyDescent="0.2">
      <c r="A14" s="1">
        <v>1972</v>
      </c>
      <c r="B14" s="1">
        <v>10949</v>
      </c>
      <c r="C14" s="1">
        <v>80911</v>
      </c>
      <c r="D14" s="1">
        <v>49609</v>
      </c>
      <c r="E14" s="1">
        <v>144237</v>
      </c>
      <c r="F14" s="1">
        <v>148432</v>
      </c>
    </row>
    <row r="15" spans="1:6" x14ac:dyDescent="0.2">
      <c r="A15" s="1">
        <v>1973</v>
      </c>
      <c r="B15" s="1">
        <v>9799</v>
      </c>
      <c r="C15" s="1">
        <v>85402</v>
      </c>
      <c r="D15" s="1">
        <v>35453</v>
      </c>
      <c r="E15" s="1">
        <v>58186</v>
      </c>
      <c r="F15" s="1">
        <v>109245</v>
      </c>
    </row>
    <row r="16" spans="1:6" x14ac:dyDescent="0.2">
      <c r="A16" s="1">
        <v>1974</v>
      </c>
      <c r="B16" s="1">
        <v>2908</v>
      </c>
      <c r="C16" s="1">
        <v>38726</v>
      </c>
      <c r="D16" s="1">
        <v>38667</v>
      </c>
      <c r="E16" s="1">
        <v>57820</v>
      </c>
      <c r="F16" s="1">
        <v>86692</v>
      </c>
    </row>
    <row r="17" spans="1:16" x14ac:dyDescent="0.2">
      <c r="A17" s="1">
        <v>1975</v>
      </c>
      <c r="B17" s="1">
        <v>2182</v>
      </c>
      <c r="C17" s="1">
        <v>32550</v>
      </c>
      <c r="D17" s="1">
        <v>1185</v>
      </c>
      <c r="E17" s="1">
        <v>9567</v>
      </c>
      <c r="F17" s="1">
        <v>2678</v>
      </c>
    </row>
    <row r="18" spans="1:16" x14ac:dyDescent="0.2">
      <c r="A18" s="1">
        <v>1976</v>
      </c>
      <c r="B18" s="1">
        <v>1757</v>
      </c>
      <c r="C18" s="1">
        <v>62174</v>
      </c>
      <c r="D18" s="1">
        <v>41664</v>
      </c>
      <c r="E18" s="1">
        <v>14977</v>
      </c>
      <c r="F18" s="1">
        <v>81972</v>
      </c>
    </row>
    <row r="19" spans="1:16" x14ac:dyDescent="0.2">
      <c r="A19" s="1">
        <v>1977</v>
      </c>
      <c r="B19" s="1">
        <v>1068</v>
      </c>
      <c r="C19" s="1">
        <v>72030</v>
      </c>
      <c r="D19" s="1">
        <v>54929</v>
      </c>
      <c r="E19" s="1">
        <v>88904</v>
      </c>
      <c r="F19" s="1">
        <v>60964</v>
      </c>
    </row>
    <row r="20" spans="1:16" x14ac:dyDescent="0.2">
      <c r="A20" s="1">
        <v>1978</v>
      </c>
      <c r="B20" s="1">
        <v>1926</v>
      </c>
      <c r="C20" s="1">
        <v>55398</v>
      </c>
      <c r="D20" s="1">
        <v>31944</v>
      </c>
      <c r="E20" s="1">
        <v>51385</v>
      </c>
      <c r="F20" s="1">
        <v>36254</v>
      </c>
    </row>
    <row r="21" spans="1:16" x14ac:dyDescent="0.2">
      <c r="A21" s="1">
        <v>1979</v>
      </c>
      <c r="B21" s="1">
        <v>3701</v>
      </c>
      <c r="C21" s="1">
        <v>122148</v>
      </c>
      <c r="D21" s="1">
        <v>16194</v>
      </c>
      <c r="E21" s="1">
        <v>152836</v>
      </c>
      <c r="F21" s="1">
        <v>61194</v>
      </c>
    </row>
    <row r="22" spans="1:16" x14ac:dyDescent="0.2">
      <c r="A22" s="1">
        <v>1980</v>
      </c>
      <c r="B22" s="1">
        <v>2251</v>
      </c>
      <c r="C22" s="1">
        <v>123451</v>
      </c>
      <c r="D22" s="1">
        <v>41677</v>
      </c>
      <c r="E22" s="1">
        <v>296622</v>
      </c>
      <c r="F22" s="1">
        <v>192793</v>
      </c>
    </row>
    <row r="23" spans="1:16" x14ac:dyDescent="0.2">
      <c r="A23" s="1">
        <v>1981</v>
      </c>
      <c r="B23" s="1">
        <v>1721</v>
      </c>
      <c r="C23" s="1">
        <v>49942</v>
      </c>
      <c r="D23" s="1">
        <v>26711</v>
      </c>
      <c r="E23" s="1">
        <v>254856</v>
      </c>
      <c r="F23" s="1">
        <v>76438</v>
      </c>
    </row>
    <row r="24" spans="1:16" x14ac:dyDescent="0.2">
      <c r="A24" s="1">
        <v>1982</v>
      </c>
      <c r="B24" s="1">
        <v>3014</v>
      </c>
      <c r="C24" s="1">
        <v>83722</v>
      </c>
      <c r="D24" s="1">
        <v>29073</v>
      </c>
      <c r="E24" s="1">
        <v>109270</v>
      </c>
      <c r="F24" s="1">
        <v>37584</v>
      </c>
    </row>
    <row r="25" spans="1:16" x14ac:dyDescent="0.2">
      <c r="A25" s="1">
        <v>1983</v>
      </c>
      <c r="B25" s="1">
        <v>888</v>
      </c>
      <c r="C25" s="1">
        <v>31821</v>
      </c>
      <c r="D25" s="1">
        <v>21455</v>
      </c>
      <c r="E25" s="1">
        <v>66239</v>
      </c>
      <c r="F25" s="1">
        <v>15264</v>
      </c>
    </row>
    <row r="26" spans="1:16" x14ac:dyDescent="0.2">
      <c r="A26" s="1">
        <v>1984</v>
      </c>
      <c r="B26" s="1">
        <v>1773</v>
      </c>
      <c r="C26" s="1">
        <v>77233</v>
      </c>
      <c r="D26" s="1">
        <v>33836</v>
      </c>
      <c r="E26" s="1">
        <v>145971</v>
      </c>
      <c r="F26" s="1">
        <v>86764</v>
      </c>
    </row>
    <row r="27" spans="1:16" x14ac:dyDescent="0.2">
      <c r="A27" s="1">
        <v>1985</v>
      </c>
      <c r="B27" s="1">
        <v>2632</v>
      </c>
      <c r="C27" s="1">
        <v>88093</v>
      </c>
      <c r="D27" s="1">
        <v>55518</v>
      </c>
      <c r="E27" s="1">
        <v>311305</v>
      </c>
      <c r="F27" s="1">
        <v>106900</v>
      </c>
    </row>
    <row r="28" spans="1:16" ht="16" x14ac:dyDescent="0.2">
      <c r="A28" s="1">
        <v>1986</v>
      </c>
      <c r="B28" s="1">
        <v>2584</v>
      </c>
      <c r="C28" s="1">
        <v>73061</v>
      </c>
      <c r="D28" s="1">
        <v>30512</v>
      </c>
      <c r="E28" s="1">
        <v>16568</v>
      </c>
      <c r="F28" s="1">
        <v>58792</v>
      </c>
      <c r="K28" s="2"/>
      <c r="L28" s="2"/>
      <c r="M28" s="2"/>
      <c r="N28" s="2"/>
      <c r="O28" s="2"/>
      <c r="P28" s="2"/>
    </row>
    <row r="29" spans="1:16" ht="16" x14ac:dyDescent="0.2">
      <c r="A29" s="1">
        <v>1987</v>
      </c>
      <c r="B29" s="1">
        <v>2076</v>
      </c>
      <c r="C29" s="1">
        <v>75212</v>
      </c>
      <c r="D29" s="1">
        <v>35219</v>
      </c>
      <c r="E29" s="1">
        <v>363439</v>
      </c>
      <c r="F29" s="1">
        <v>121660</v>
      </c>
      <c r="K29" s="2"/>
      <c r="L29" s="2"/>
      <c r="M29" s="2"/>
      <c r="N29" s="2"/>
      <c r="O29" s="2"/>
      <c r="P29" s="2"/>
    </row>
    <row r="30" spans="1:16" ht="16" x14ac:dyDescent="0.2">
      <c r="A30" s="1">
        <v>1988</v>
      </c>
      <c r="B30" s="1">
        <v>1777</v>
      </c>
      <c r="C30" s="1">
        <v>38901</v>
      </c>
      <c r="D30" s="1">
        <v>44818</v>
      </c>
      <c r="E30" s="1">
        <v>157732</v>
      </c>
      <c r="F30" s="1">
        <v>140038</v>
      </c>
      <c r="K30" s="2"/>
      <c r="L30" s="2"/>
      <c r="M30" s="2"/>
      <c r="N30" s="2"/>
      <c r="O30" s="2"/>
      <c r="P30" s="2"/>
    </row>
    <row r="31" spans="1:16" ht="16" x14ac:dyDescent="0.2">
      <c r="A31" s="1">
        <v>1989</v>
      </c>
      <c r="B31" s="1">
        <v>1811</v>
      </c>
      <c r="C31" s="1">
        <v>74019</v>
      </c>
      <c r="D31" s="1">
        <v>51812</v>
      </c>
      <c r="E31" s="1">
        <v>180639</v>
      </c>
      <c r="F31" s="1">
        <v>36979</v>
      </c>
      <c r="K31" s="2"/>
      <c r="L31" s="2"/>
      <c r="M31" s="2"/>
      <c r="N31" s="2"/>
      <c r="O31" s="2"/>
      <c r="P31" s="2"/>
    </row>
    <row r="32" spans="1:16" ht="16" x14ac:dyDescent="0.2">
      <c r="A32" s="1">
        <v>1990</v>
      </c>
      <c r="B32" s="1">
        <v>3480</v>
      </c>
      <c r="C32" s="1">
        <v>126884</v>
      </c>
      <c r="D32" s="1">
        <v>67530</v>
      </c>
      <c r="E32" s="1">
        <v>153126</v>
      </c>
      <c r="F32" s="1">
        <v>145799</v>
      </c>
      <c r="K32" s="2"/>
      <c r="L32" s="2"/>
      <c r="M32" s="2"/>
      <c r="N32" s="2"/>
      <c r="O32" s="2"/>
      <c r="P32" s="2"/>
    </row>
    <row r="33" spans="1:16" ht="16" x14ac:dyDescent="0.2">
      <c r="A33" s="1">
        <v>1991</v>
      </c>
      <c r="B33" s="1">
        <v>3214</v>
      </c>
      <c r="C33" s="1">
        <v>109471</v>
      </c>
      <c r="D33" s="1">
        <v>126576</v>
      </c>
      <c r="E33" s="1">
        <v>74170</v>
      </c>
      <c r="F33" s="1">
        <v>160422</v>
      </c>
      <c r="K33" s="2"/>
      <c r="L33" s="2"/>
      <c r="M33" s="2"/>
      <c r="N33" s="2"/>
      <c r="O33" s="2"/>
      <c r="P33" s="2"/>
    </row>
    <row r="34" spans="1:16" ht="16" x14ac:dyDescent="0.2">
      <c r="A34" s="1">
        <v>1992</v>
      </c>
      <c r="B34" s="1">
        <v>2341</v>
      </c>
      <c r="C34" s="1">
        <v>135411</v>
      </c>
      <c r="D34" s="1">
        <v>172662</v>
      </c>
      <c r="E34" s="1">
        <v>314445</v>
      </c>
      <c r="F34" s="1">
        <v>112527</v>
      </c>
      <c r="K34" s="2"/>
      <c r="L34" s="2"/>
      <c r="M34" s="2"/>
      <c r="N34" s="2"/>
      <c r="O34" s="2"/>
      <c r="P34" s="2"/>
    </row>
    <row r="35" spans="1:16" ht="16" x14ac:dyDescent="0.2">
      <c r="A35" s="1">
        <v>1993</v>
      </c>
      <c r="B35" s="1">
        <v>7159</v>
      </c>
      <c r="C35" s="1">
        <v>171427</v>
      </c>
      <c r="D35" s="1">
        <v>65539</v>
      </c>
      <c r="E35" s="1">
        <v>29216</v>
      </c>
      <c r="F35" s="1">
        <v>167902</v>
      </c>
      <c r="K35" s="2"/>
      <c r="L35" s="2"/>
      <c r="M35" s="2"/>
      <c r="N35" s="2"/>
      <c r="O35" s="2"/>
      <c r="P35" s="2"/>
    </row>
    <row r="36" spans="1:16" ht="16" x14ac:dyDescent="0.2">
      <c r="A36" s="1">
        <v>1994</v>
      </c>
      <c r="B36" s="1">
        <v>5047</v>
      </c>
      <c r="C36" s="1">
        <v>105893</v>
      </c>
      <c r="D36" s="1">
        <v>188501</v>
      </c>
      <c r="E36" s="1">
        <v>401525</v>
      </c>
      <c r="F36" s="1">
        <v>214171</v>
      </c>
      <c r="K36" s="2"/>
      <c r="L36" s="2"/>
      <c r="M36" s="2"/>
      <c r="N36" s="2"/>
      <c r="O36" s="2"/>
      <c r="P36" s="2"/>
    </row>
    <row r="37" spans="1:16" ht="16" x14ac:dyDescent="0.2">
      <c r="A37" s="1">
        <v>1995</v>
      </c>
      <c r="B37" s="1">
        <v>4660</v>
      </c>
      <c r="C37" s="1">
        <v>103362</v>
      </c>
      <c r="D37" s="1">
        <v>83606</v>
      </c>
      <c r="E37" s="1">
        <v>41228</v>
      </c>
      <c r="F37" s="1">
        <v>349949</v>
      </c>
      <c r="K37" s="2"/>
      <c r="L37" s="2"/>
      <c r="M37" s="2"/>
      <c r="N37" s="2"/>
      <c r="O37" s="2"/>
      <c r="P37" s="2"/>
    </row>
    <row r="38" spans="1:16" ht="16" x14ac:dyDescent="0.2">
      <c r="A38" s="1">
        <v>1996</v>
      </c>
      <c r="B38" s="1">
        <v>2659</v>
      </c>
      <c r="C38" s="1">
        <v>199014</v>
      </c>
      <c r="D38" s="1">
        <v>33633</v>
      </c>
      <c r="E38" s="1">
        <v>12660</v>
      </c>
      <c r="F38" s="1">
        <v>354463</v>
      </c>
      <c r="K38" s="2"/>
      <c r="L38" s="2"/>
      <c r="M38" s="2"/>
      <c r="N38" s="2"/>
      <c r="O38" s="2"/>
      <c r="P38" s="2"/>
    </row>
    <row r="39" spans="1:16" ht="16" x14ac:dyDescent="0.2">
      <c r="A39" s="1">
        <v>1997</v>
      </c>
      <c r="B39" s="1">
        <v>2804</v>
      </c>
      <c r="C39" s="1">
        <v>94745</v>
      </c>
      <c r="D39" s="1">
        <v>3515</v>
      </c>
      <c r="E39" s="1">
        <v>51424</v>
      </c>
      <c r="F39" s="1">
        <v>176864</v>
      </c>
      <c r="K39" s="2"/>
      <c r="L39" s="2"/>
      <c r="M39" s="2"/>
      <c r="N39" s="2"/>
      <c r="O39" s="2"/>
      <c r="P39" s="2"/>
    </row>
    <row r="40" spans="1:16" ht="16" x14ac:dyDescent="0.2">
      <c r="A40" s="1">
        <v>1998</v>
      </c>
      <c r="B40" s="1">
        <v>794</v>
      </c>
      <c r="C40" s="1">
        <v>69677</v>
      </c>
      <c r="D40" s="1">
        <v>28713</v>
      </c>
      <c r="E40" s="1">
        <v>168283</v>
      </c>
      <c r="F40" s="1">
        <v>296111</v>
      </c>
      <c r="K40" s="2"/>
      <c r="L40" s="2"/>
      <c r="M40" s="2"/>
      <c r="N40" s="2"/>
      <c r="O40" s="2"/>
      <c r="P40" s="2"/>
    </row>
    <row r="41" spans="1:16" ht="16" x14ac:dyDescent="0.2">
      <c r="A41" s="1">
        <v>1999</v>
      </c>
      <c r="B41" s="1">
        <v>1949</v>
      </c>
      <c r="C41" s="1">
        <v>79686</v>
      </c>
      <c r="D41" s="1">
        <v>17608</v>
      </c>
      <c r="E41" s="1">
        <v>59316</v>
      </c>
      <c r="F41" s="1">
        <v>429359</v>
      </c>
      <c r="K41" s="2"/>
      <c r="L41" s="2"/>
      <c r="M41" s="2"/>
      <c r="N41" s="2"/>
      <c r="O41" s="2"/>
      <c r="P41" s="2"/>
    </row>
    <row r="42" spans="1:16" ht="16" x14ac:dyDescent="0.2">
      <c r="A42" s="1">
        <v>2000</v>
      </c>
      <c r="B42" s="1">
        <v>1154</v>
      </c>
      <c r="C42" s="1">
        <v>185956</v>
      </c>
      <c r="D42" s="1">
        <v>7828</v>
      </c>
      <c r="E42" s="1">
        <v>58696</v>
      </c>
      <c r="F42" s="1">
        <v>669994</v>
      </c>
      <c r="K42" s="2"/>
      <c r="L42" s="2"/>
      <c r="M42" s="2"/>
      <c r="N42" s="2"/>
      <c r="O42" s="2"/>
      <c r="P42" s="2"/>
    </row>
    <row r="43" spans="1:16" ht="16" x14ac:dyDescent="0.2">
      <c r="A43" s="1">
        <v>2001</v>
      </c>
      <c r="B43" s="1">
        <v>1698</v>
      </c>
      <c r="C43" s="1">
        <v>293043</v>
      </c>
      <c r="D43" s="1">
        <v>22646</v>
      </c>
      <c r="E43" s="1">
        <v>123026</v>
      </c>
      <c r="F43" s="1">
        <v>237122</v>
      </c>
      <c r="K43" s="2"/>
      <c r="L43" s="2"/>
      <c r="M43" s="2"/>
      <c r="N43" s="2"/>
      <c r="O43" s="2"/>
      <c r="P43" s="2"/>
    </row>
    <row r="44" spans="1:16" ht="16" x14ac:dyDescent="0.2">
      <c r="A44" s="1">
        <v>2002</v>
      </c>
      <c r="B44" s="1">
        <v>1850</v>
      </c>
      <c r="C44" s="1">
        <v>204103</v>
      </c>
      <c r="D44" s="1">
        <v>40464</v>
      </c>
      <c r="E44" s="1">
        <v>78624</v>
      </c>
      <c r="F44" s="1">
        <v>231936</v>
      </c>
      <c r="K44" s="2"/>
      <c r="L44" s="2"/>
      <c r="M44" s="2"/>
      <c r="N44" s="2"/>
      <c r="O44" s="2"/>
      <c r="P44" s="2"/>
    </row>
    <row r="45" spans="1:16" ht="16" x14ac:dyDescent="0.2">
      <c r="A45" s="1">
        <v>2003</v>
      </c>
      <c r="B45" s="1">
        <v>1467</v>
      </c>
      <c r="C45" s="1">
        <v>238160</v>
      </c>
      <c r="D45" s="1">
        <v>24338</v>
      </c>
      <c r="E45" s="1">
        <v>114166</v>
      </c>
      <c r="F45" s="1">
        <v>170874</v>
      </c>
      <c r="K45" s="2"/>
      <c r="L45" s="2"/>
      <c r="M45" s="2"/>
      <c r="N45" s="2"/>
      <c r="O45" s="2"/>
      <c r="P45" s="2"/>
    </row>
    <row r="46" spans="1:16" ht="16" x14ac:dyDescent="0.2">
      <c r="A46" s="1">
        <v>2004</v>
      </c>
      <c r="B46" s="1">
        <v>2345</v>
      </c>
      <c r="C46" s="1">
        <v>283756</v>
      </c>
      <c r="D46" s="1">
        <v>45769</v>
      </c>
      <c r="E46" s="1">
        <v>154640</v>
      </c>
      <c r="F46" s="1">
        <v>131757</v>
      </c>
      <c r="K46" s="2"/>
      <c r="L46" s="2"/>
      <c r="M46" s="2"/>
      <c r="N46" s="2"/>
      <c r="O46" s="2"/>
      <c r="P46" s="2"/>
    </row>
    <row r="47" spans="1:16" ht="16" x14ac:dyDescent="0.2">
      <c r="A47" s="1">
        <v>2005</v>
      </c>
      <c r="B47" s="1">
        <v>23301</v>
      </c>
      <c r="C47" s="1">
        <v>106048</v>
      </c>
      <c r="D47" s="1">
        <v>21289</v>
      </c>
      <c r="E47" s="1">
        <v>182778</v>
      </c>
      <c r="F47" s="1">
        <v>93700</v>
      </c>
      <c r="K47" s="2"/>
      <c r="L47" s="2"/>
      <c r="M47" s="2"/>
      <c r="N47" s="2"/>
      <c r="O47" s="2"/>
      <c r="P47" s="2"/>
    </row>
    <row r="48" spans="1:16" ht="16" x14ac:dyDescent="0.2">
      <c r="A48" s="1">
        <v>2006</v>
      </c>
      <c r="B48" s="1">
        <v>11261</v>
      </c>
      <c r="C48" s="1">
        <v>262527</v>
      </c>
      <c r="D48" s="1">
        <v>60145</v>
      </c>
      <c r="E48" s="1">
        <v>191992</v>
      </c>
      <c r="F48" s="1">
        <v>382952</v>
      </c>
      <c r="K48" s="2"/>
      <c r="L48" s="2"/>
      <c r="M48" s="2"/>
      <c r="N48" s="2"/>
      <c r="O48" s="2"/>
      <c r="P48" s="2"/>
    </row>
    <row r="49" spans="1:16" ht="16" x14ac:dyDescent="0.2">
      <c r="A49" s="1">
        <v>2007</v>
      </c>
      <c r="B49" s="1">
        <v>1452</v>
      </c>
      <c r="C49" s="1">
        <v>112241</v>
      </c>
      <c r="D49" s="1">
        <v>22394</v>
      </c>
      <c r="E49" s="1">
        <v>100375</v>
      </c>
      <c r="F49" s="1">
        <v>590169</v>
      </c>
      <c r="K49" s="2"/>
      <c r="L49" s="2"/>
      <c r="M49" s="2"/>
      <c r="N49" s="2"/>
      <c r="O49" s="2"/>
      <c r="P49" s="2"/>
    </row>
    <row r="50" spans="1:16" ht="16" x14ac:dyDescent="0.2">
      <c r="A50" s="1">
        <v>2008</v>
      </c>
      <c r="B50" s="1">
        <v>2193</v>
      </c>
      <c r="C50" s="1">
        <v>116693</v>
      </c>
      <c r="D50" s="1">
        <v>37349</v>
      </c>
      <c r="E50" s="1">
        <v>90162</v>
      </c>
      <c r="F50" s="1">
        <v>774095</v>
      </c>
      <c r="K50" s="2"/>
      <c r="L50" s="2"/>
      <c r="M50" s="2"/>
      <c r="N50" s="2"/>
      <c r="O50" s="2"/>
      <c r="P50" s="2"/>
    </row>
    <row r="51" spans="1:16" ht="16" x14ac:dyDescent="0.2">
      <c r="A51" s="1">
        <v>2009</v>
      </c>
      <c r="B51" s="1">
        <v>6800</v>
      </c>
      <c r="C51" s="1">
        <v>62070</v>
      </c>
      <c r="D51" s="1">
        <v>36615</v>
      </c>
      <c r="E51" s="1">
        <v>56801</v>
      </c>
      <c r="F51" s="1">
        <v>918350</v>
      </c>
      <c r="K51" s="2"/>
      <c r="L51" s="2"/>
      <c r="M51" s="2"/>
      <c r="N51" s="2"/>
      <c r="O51" s="2"/>
      <c r="P51" s="2"/>
    </row>
    <row r="52" spans="1:16" ht="16" x14ac:dyDescent="0.2">
      <c r="A52" s="1">
        <v>2010</v>
      </c>
      <c r="B52" s="1">
        <v>1685</v>
      </c>
      <c r="C52" s="1">
        <v>76607</v>
      </c>
      <c r="D52" s="1">
        <v>62241</v>
      </c>
      <c r="E52" s="1">
        <v>132785</v>
      </c>
      <c r="F52" s="1">
        <v>488898</v>
      </c>
      <c r="K52" s="2"/>
      <c r="L52" s="2"/>
      <c r="M52" s="2"/>
      <c r="N52" s="2"/>
      <c r="O52" s="2"/>
      <c r="P52" s="2"/>
    </row>
    <row r="53" spans="1:16" ht="16" x14ac:dyDescent="0.2">
      <c r="A53" s="1">
        <v>2011</v>
      </c>
      <c r="B53" s="1">
        <v>2510</v>
      </c>
      <c r="C53" s="1">
        <v>163896</v>
      </c>
      <c r="D53" s="1">
        <v>28574</v>
      </c>
      <c r="E53" s="1">
        <v>344766</v>
      </c>
      <c r="F53" s="1">
        <v>667929</v>
      </c>
      <c r="K53" s="2"/>
      <c r="L53" s="2"/>
      <c r="M53" s="2"/>
      <c r="N53" s="2"/>
      <c r="O53" s="2"/>
      <c r="P53" s="2"/>
    </row>
    <row r="54" spans="1:16" ht="16" x14ac:dyDescent="0.2">
      <c r="A54" s="1">
        <v>2012</v>
      </c>
      <c r="B54" s="1">
        <v>1291</v>
      </c>
      <c r="C54" s="1">
        <v>140898</v>
      </c>
      <c r="D54" s="1">
        <v>24115</v>
      </c>
      <c r="E54" s="1">
        <v>193969</v>
      </c>
      <c r="F54" s="1">
        <v>566741</v>
      </c>
      <c r="K54" s="2"/>
      <c r="L54" s="2"/>
      <c r="M54" s="2"/>
      <c r="N54" s="2"/>
      <c r="O54" s="2"/>
      <c r="P54" s="2"/>
    </row>
    <row r="55" spans="1:16" ht="16" x14ac:dyDescent="0.2">
      <c r="A55" s="1">
        <v>2013</v>
      </c>
      <c r="B55" s="1">
        <v>1224</v>
      </c>
      <c r="C55" s="1">
        <v>207231</v>
      </c>
      <c r="D55" s="1">
        <v>51441</v>
      </c>
      <c r="E55" s="1">
        <v>127343</v>
      </c>
      <c r="F55" s="1">
        <v>726849</v>
      </c>
      <c r="K55" s="2"/>
      <c r="L55" s="2"/>
      <c r="M55" s="2"/>
      <c r="N55" s="2"/>
      <c r="O55" s="2"/>
      <c r="P55" s="2"/>
    </row>
    <row r="56" spans="1:16" ht="16" x14ac:dyDescent="0.2">
      <c r="A56" s="1">
        <v>2014</v>
      </c>
      <c r="B56" s="1">
        <v>1471</v>
      </c>
      <c r="C56" s="1">
        <v>126738</v>
      </c>
      <c r="D56" s="1">
        <v>54186</v>
      </c>
      <c r="E56" s="1">
        <v>29190</v>
      </c>
      <c r="F56" s="1">
        <v>291409</v>
      </c>
      <c r="K56" s="2"/>
      <c r="L56" s="2"/>
      <c r="M56" s="2"/>
      <c r="N56" s="2"/>
      <c r="O56" s="2"/>
      <c r="P56" s="2"/>
    </row>
    <row r="57" spans="1:16" ht="16" x14ac:dyDescent="0.2">
      <c r="A57" s="1">
        <v>2015</v>
      </c>
      <c r="B57" s="1">
        <v>1150</v>
      </c>
      <c r="C57" s="1">
        <v>83431</v>
      </c>
      <c r="D57" s="1">
        <v>23572</v>
      </c>
      <c r="E57" s="1">
        <v>296575</v>
      </c>
      <c r="F57" s="1">
        <v>475456</v>
      </c>
      <c r="K57" s="2"/>
      <c r="L57" s="2"/>
      <c r="M57" s="2"/>
      <c r="N57" s="2"/>
      <c r="O57" s="2"/>
      <c r="P57" s="2"/>
    </row>
    <row r="58" spans="1:16" ht="16" x14ac:dyDescent="0.2">
      <c r="A58" s="1">
        <v>2016</v>
      </c>
      <c r="B58" s="1">
        <v>595</v>
      </c>
      <c r="C58" s="1">
        <v>215049</v>
      </c>
      <c r="D58" s="1">
        <v>35037</v>
      </c>
      <c r="E58" s="1">
        <v>46604</v>
      </c>
      <c r="F58" s="1">
        <v>448284</v>
      </c>
      <c r="K58" s="2"/>
      <c r="L58" s="2"/>
      <c r="M58" s="2"/>
      <c r="N58" s="2"/>
      <c r="O58" s="2"/>
      <c r="P58" s="2"/>
    </row>
    <row r="59" spans="1:16" ht="16" x14ac:dyDescent="0.2">
      <c r="A59" s="1">
        <v>2017</v>
      </c>
      <c r="B59" s="1">
        <v>1086</v>
      </c>
      <c r="C59" s="1">
        <v>113818</v>
      </c>
      <c r="D59" s="1">
        <v>16002</v>
      </c>
      <c r="E59" s="1">
        <v>230243</v>
      </c>
      <c r="F59" s="1">
        <v>885694</v>
      </c>
      <c r="K59" s="2"/>
      <c r="L59" s="2"/>
      <c r="M59" s="2"/>
      <c r="N59" s="2"/>
      <c r="O59" s="2"/>
      <c r="P59" s="2"/>
    </row>
    <row r="60" spans="1:16" ht="16" x14ac:dyDescent="0.2">
      <c r="A60" s="1">
        <v>2018</v>
      </c>
      <c r="B60" s="1">
        <v>739</v>
      </c>
      <c r="C60" s="1">
        <v>68122</v>
      </c>
      <c r="D60" s="1">
        <v>35608</v>
      </c>
      <c r="E60" s="1">
        <v>23183</v>
      </c>
      <c r="F60" s="1">
        <v>517104</v>
      </c>
      <c r="K60" s="2"/>
      <c r="L60" s="2"/>
      <c r="M60" s="2"/>
      <c r="N60" s="2"/>
      <c r="O60" s="2"/>
      <c r="P60" s="2"/>
    </row>
    <row r="61" spans="1:16" ht="16" x14ac:dyDescent="0.2">
      <c r="A61" s="1">
        <v>2019</v>
      </c>
      <c r="B61" s="1">
        <v>1201</v>
      </c>
      <c r="C61" s="1">
        <v>95421</v>
      </c>
      <c r="D61" s="1">
        <v>23235</v>
      </c>
      <c r="E61" s="1">
        <v>69137</v>
      </c>
      <c r="F61" s="1">
        <v>245962</v>
      </c>
      <c r="K61" s="2"/>
      <c r="L61" s="2"/>
      <c r="M61" s="2"/>
      <c r="N61" s="2"/>
      <c r="O61" s="2"/>
      <c r="P61" s="2"/>
    </row>
    <row r="62" spans="1:16" ht="16" x14ac:dyDescent="0.2">
      <c r="A62" s="1">
        <v>2020</v>
      </c>
      <c r="B62" s="1">
        <v>1094</v>
      </c>
      <c r="C62" s="1">
        <v>28233</v>
      </c>
      <c r="D62" s="1">
        <v>15863</v>
      </c>
      <c r="E62" s="1">
        <v>65353</v>
      </c>
      <c r="F62" s="1">
        <v>109516</v>
      </c>
      <c r="K62" s="2"/>
      <c r="L62" s="2"/>
      <c r="M62" s="2"/>
      <c r="N62" s="2"/>
      <c r="O62" s="2"/>
      <c r="P62" s="2"/>
    </row>
    <row r="63" spans="1:16" ht="16" x14ac:dyDescent="0.2">
      <c r="A63" s="1">
        <v>2021</v>
      </c>
      <c r="B63" s="1">
        <v>666</v>
      </c>
      <c r="C63" s="1">
        <v>45897</v>
      </c>
      <c r="D63" s="1">
        <v>20643</v>
      </c>
      <c r="E63" s="1">
        <v>136855</v>
      </c>
      <c r="F63" s="1">
        <v>185684</v>
      </c>
      <c r="K63" s="2"/>
      <c r="L63" s="2"/>
      <c r="M63" s="2"/>
      <c r="N63" s="2"/>
      <c r="O63" s="2"/>
      <c r="P63" s="2"/>
    </row>
    <row r="64" spans="1:16" ht="16" x14ac:dyDescent="0.2">
      <c r="A64" s="1">
        <v>2022</v>
      </c>
      <c r="B64" s="1">
        <v>998</v>
      </c>
      <c r="C64" s="1">
        <v>112970</v>
      </c>
      <c r="D64" s="1">
        <v>15493</v>
      </c>
      <c r="E64" s="1">
        <v>53294</v>
      </c>
      <c r="F64" s="1">
        <v>313616</v>
      </c>
      <c r="K64" s="2"/>
      <c r="L64" s="2"/>
      <c r="M64" s="2"/>
      <c r="N64" s="2"/>
      <c r="O64" s="2"/>
      <c r="P64" s="2"/>
    </row>
    <row r="65" spans="1:16" ht="16" x14ac:dyDescent="0.2">
      <c r="A65" s="1">
        <v>2023</v>
      </c>
      <c r="B65" s="1">
        <v>694</v>
      </c>
      <c r="C65" s="1">
        <v>79749</v>
      </c>
      <c r="D65" s="1">
        <v>20518</v>
      </c>
      <c r="E65" s="1">
        <v>129555</v>
      </c>
      <c r="F65" s="1">
        <v>622555</v>
      </c>
      <c r="K65" s="2"/>
      <c r="L65" s="2"/>
      <c r="M65" s="2"/>
      <c r="N65" s="2"/>
      <c r="O65" s="2"/>
      <c r="P65" s="2"/>
    </row>
    <row r="66" spans="1:16" ht="16" x14ac:dyDescent="0.2">
      <c r="K66" s="2"/>
      <c r="L66" s="2"/>
      <c r="M66" s="2"/>
      <c r="N66" s="2"/>
      <c r="O66" s="2"/>
      <c r="P66" s="2"/>
    </row>
    <row r="67" spans="1:16" ht="16" x14ac:dyDescent="0.2">
      <c r="K67" s="2"/>
      <c r="L67" s="2"/>
      <c r="M67" s="2"/>
      <c r="N67" s="2"/>
      <c r="O67" s="2"/>
      <c r="P67" s="2"/>
    </row>
    <row r="68" spans="1:16" ht="16" x14ac:dyDescent="0.2">
      <c r="K68" s="2"/>
      <c r="L68" s="2"/>
      <c r="M68" s="2"/>
      <c r="N68" s="2"/>
      <c r="O68" s="2"/>
      <c r="P68" s="2"/>
    </row>
    <row r="69" spans="1:16" ht="16" x14ac:dyDescent="0.2">
      <c r="K69" s="2"/>
      <c r="L69" s="2"/>
      <c r="M69" s="2"/>
      <c r="N69" s="2"/>
      <c r="O69" s="2"/>
      <c r="P69" s="2"/>
    </row>
    <row r="70" spans="1:16" ht="16" x14ac:dyDescent="0.2">
      <c r="K70" s="2"/>
      <c r="L70" s="2"/>
      <c r="M70" s="2"/>
      <c r="N70" s="2"/>
      <c r="O70" s="2"/>
      <c r="P70" s="2"/>
    </row>
    <row r="71" spans="1:16" ht="16" x14ac:dyDescent="0.2">
      <c r="K71" s="2"/>
      <c r="L71" s="2"/>
      <c r="M71" s="2"/>
      <c r="N71" s="2"/>
      <c r="O71" s="2"/>
      <c r="P71" s="2"/>
    </row>
    <row r="72" spans="1:16" ht="16" x14ac:dyDescent="0.2">
      <c r="K72" s="2"/>
      <c r="L72" s="2"/>
      <c r="M72" s="2"/>
      <c r="N72" s="2"/>
      <c r="O72" s="2"/>
      <c r="P72" s="2"/>
    </row>
    <row r="73" spans="1:16" ht="16" x14ac:dyDescent="0.2">
      <c r="K73" s="2"/>
      <c r="L73" s="2"/>
      <c r="M73" s="2"/>
      <c r="N73" s="2"/>
      <c r="O73" s="2"/>
      <c r="P73" s="2"/>
    </row>
    <row r="74" spans="1:16" ht="16" x14ac:dyDescent="0.2">
      <c r="K74" s="2"/>
      <c r="L74" s="2"/>
      <c r="M74" s="2"/>
      <c r="N74" s="2"/>
      <c r="O74" s="2"/>
      <c r="P74" s="2"/>
    </row>
    <row r="75" spans="1:16" ht="16" x14ac:dyDescent="0.2">
      <c r="K75" s="2"/>
      <c r="L75" s="2"/>
      <c r="M75" s="2"/>
      <c r="N75" s="2"/>
      <c r="O75" s="2"/>
      <c r="P75" s="2"/>
    </row>
    <row r="76" spans="1:16" ht="16" x14ac:dyDescent="0.2">
      <c r="K76" s="2"/>
      <c r="L76" s="2"/>
      <c r="M76" s="2"/>
      <c r="N76" s="2"/>
      <c r="O76" s="2"/>
      <c r="P76" s="2"/>
    </row>
    <row r="77" spans="1:16" ht="16" x14ac:dyDescent="0.2">
      <c r="K77" s="2"/>
      <c r="L77" s="2"/>
      <c r="M77" s="2"/>
      <c r="N77" s="2"/>
      <c r="O77" s="2"/>
      <c r="P77" s="2"/>
    </row>
    <row r="78" spans="1:16" ht="16" x14ac:dyDescent="0.2">
      <c r="K78" s="2"/>
      <c r="L78" s="2"/>
      <c r="M78" s="2"/>
      <c r="N78" s="2"/>
      <c r="O78" s="2"/>
      <c r="P78" s="2"/>
    </row>
    <row r="79" spans="1:16" ht="16" x14ac:dyDescent="0.2">
      <c r="K79" s="2"/>
      <c r="L79" s="2"/>
      <c r="M79" s="2"/>
      <c r="N79" s="2"/>
      <c r="O79" s="2"/>
      <c r="P79" s="2"/>
    </row>
    <row r="80" spans="1:16" ht="16" x14ac:dyDescent="0.2">
      <c r="K80" s="2"/>
      <c r="L80" s="2"/>
      <c r="M80" s="2"/>
      <c r="N80" s="2"/>
      <c r="O80" s="2"/>
      <c r="P80" s="2"/>
    </row>
    <row r="81" spans="11:16" ht="16" x14ac:dyDescent="0.2">
      <c r="K81" s="2"/>
      <c r="L81" s="2"/>
      <c r="M81" s="2"/>
      <c r="N81" s="2"/>
      <c r="O81" s="2"/>
      <c r="P81" s="2"/>
    </row>
    <row r="82" spans="11:16" ht="16" x14ac:dyDescent="0.2">
      <c r="K82" s="2"/>
      <c r="L82" s="2"/>
      <c r="M82" s="2"/>
      <c r="N82" s="2"/>
      <c r="O82" s="2"/>
      <c r="P82" s="2"/>
    </row>
    <row r="83" spans="11:16" ht="16" x14ac:dyDescent="0.2">
      <c r="K83" s="2"/>
      <c r="L83" s="2"/>
      <c r="M83" s="2"/>
      <c r="N83" s="2"/>
      <c r="O83" s="2"/>
      <c r="P83" s="2"/>
    </row>
    <row r="84" spans="11:16" ht="16" x14ac:dyDescent="0.2">
      <c r="K84" s="2"/>
      <c r="L84" s="2"/>
      <c r="M84" s="2"/>
      <c r="N84" s="2"/>
      <c r="O84" s="2"/>
      <c r="P84" s="2"/>
    </row>
    <row r="85" spans="11:16" ht="16" x14ac:dyDescent="0.2">
      <c r="K85" s="2"/>
      <c r="L85" s="2"/>
      <c r="M85" s="2"/>
      <c r="N85" s="2"/>
      <c r="O85" s="2"/>
      <c r="P85" s="2"/>
    </row>
    <row r="86" spans="11:16" ht="16" x14ac:dyDescent="0.2">
      <c r="K86" s="2"/>
      <c r="L86" s="2"/>
      <c r="M86" s="2"/>
      <c r="N86" s="2"/>
      <c r="O86" s="2"/>
      <c r="P86" s="2"/>
    </row>
    <row r="87" spans="11:16" ht="16" x14ac:dyDescent="0.2">
      <c r="K87" s="2"/>
      <c r="L87" s="2"/>
      <c r="M87" s="2"/>
      <c r="N87" s="2"/>
      <c r="O87" s="2"/>
      <c r="P87" s="2"/>
    </row>
    <row r="88" spans="11:16" ht="16" x14ac:dyDescent="0.2">
      <c r="K88" s="2"/>
      <c r="L88" s="2"/>
      <c r="M88" s="2"/>
      <c r="N88" s="2"/>
      <c r="O88" s="2"/>
      <c r="P88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BD30B-EFB2-4473-AEA4-2D4F3449FAD7}">
  <dimension ref="A1:J33"/>
  <sheetViews>
    <sheetView topLeftCell="A8" workbookViewId="0">
      <selection activeCell="F34" sqref="F34"/>
    </sheetView>
  </sheetViews>
  <sheetFormatPr baseColWidth="10" defaultColWidth="8.83203125" defaultRowHeight="15" x14ac:dyDescent="0.2"/>
  <cols>
    <col min="5" max="5" width="14.6640625" customWidth="1"/>
    <col min="7" max="7" width="14.33203125" customWidth="1"/>
    <col min="8" max="8" width="13.83203125" customWidth="1"/>
  </cols>
  <sheetData>
    <row r="1" spans="1:10" x14ac:dyDescent="0.2">
      <c r="A1" t="s">
        <v>0</v>
      </c>
      <c r="B1" t="s">
        <v>38</v>
      </c>
      <c r="C1" t="s">
        <v>39</v>
      </c>
      <c r="D1" t="s">
        <v>40</v>
      </c>
      <c r="E1" t="s">
        <v>34</v>
      </c>
      <c r="F1" t="s">
        <v>1</v>
      </c>
      <c r="G1" t="s">
        <v>41</v>
      </c>
      <c r="H1" t="s">
        <v>37</v>
      </c>
      <c r="I1" t="s">
        <v>42</v>
      </c>
      <c r="J1" t="s">
        <v>43</v>
      </c>
    </row>
    <row r="2" spans="1:10" x14ac:dyDescent="0.2">
      <c r="A2">
        <v>1992</v>
      </c>
      <c r="B2">
        <v>49928</v>
      </c>
      <c r="C2">
        <v>1.79</v>
      </c>
      <c r="D2">
        <v>89270</v>
      </c>
      <c r="E2">
        <v>5541</v>
      </c>
      <c r="F2">
        <v>83729</v>
      </c>
      <c r="G2">
        <v>74745</v>
      </c>
      <c r="H2">
        <v>164015</v>
      </c>
      <c r="I2">
        <v>0.49</v>
      </c>
      <c r="J2">
        <v>212798</v>
      </c>
    </row>
    <row r="3" spans="1:10" x14ac:dyDescent="0.2">
      <c r="A3">
        <v>1993</v>
      </c>
      <c r="B3">
        <v>67448</v>
      </c>
      <c r="C3">
        <v>1.84</v>
      </c>
      <c r="D3">
        <v>123964</v>
      </c>
      <c r="E3">
        <v>4634</v>
      </c>
      <c r="F3">
        <v>119330</v>
      </c>
      <c r="G3">
        <v>35703</v>
      </c>
      <c r="H3">
        <v>159667</v>
      </c>
      <c r="I3">
        <v>0.253</v>
      </c>
      <c r="J3">
        <v>249320</v>
      </c>
    </row>
    <row r="4" spans="1:10" x14ac:dyDescent="0.2">
      <c r="A4">
        <v>1994</v>
      </c>
      <c r="B4">
        <v>98643</v>
      </c>
      <c r="C4">
        <v>1.1299999999999999</v>
      </c>
      <c r="D4">
        <v>111036</v>
      </c>
      <c r="E4">
        <v>14693</v>
      </c>
      <c r="F4">
        <v>96343</v>
      </c>
      <c r="G4">
        <v>101292</v>
      </c>
      <c r="H4">
        <v>212328</v>
      </c>
      <c r="I4">
        <v>0.54600000000000004</v>
      </c>
      <c r="J4">
        <v>339736</v>
      </c>
    </row>
    <row r="5" spans="1:10" x14ac:dyDescent="0.2">
      <c r="A5">
        <v>1995</v>
      </c>
      <c r="B5">
        <v>61738</v>
      </c>
      <c r="C5">
        <v>1.1200000000000001</v>
      </c>
      <c r="D5">
        <v>69448</v>
      </c>
      <c r="E5">
        <v>13738</v>
      </c>
      <c r="F5">
        <v>55710</v>
      </c>
      <c r="G5">
        <v>59240</v>
      </c>
      <c r="H5">
        <v>128688</v>
      </c>
      <c r="I5">
        <v>0.56699999999999995</v>
      </c>
      <c r="J5">
        <v>181116</v>
      </c>
    </row>
    <row r="6" spans="1:10" x14ac:dyDescent="0.2">
      <c r="A6">
        <v>1996</v>
      </c>
      <c r="B6">
        <v>44172</v>
      </c>
      <c r="C6">
        <v>1.1200000000000001</v>
      </c>
      <c r="D6">
        <v>49687</v>
      </c>
      <c r="E6">
        <v>5052</v>
      </c>
      <c r="F6">
        <v>44635</v>
      </c>
      <c r="G6">
        <v>17019</v>
      </c>
      <c r="H6">
        <v>66706</v>
      </c>
      <c r="I6">
        <v>0.33100000000000002</v>
      </c>
      <c r="J6">
        <v>94283</v>
      </c>
    </row>
    <row r="7" spans="1:10" x14ac:dyDescent="0.2">
      <c r="A7">
        <v>1997</v>
      </c>
      <c r="B7">
        <v>35035</v>
      </c>
      <c r="C7">
        <v>1</v>
      </c>
      <c r="D7">
        <v>35035</v>
      </c>
      <c r="E7">
        <v>2690</v>
      </c>
      <c r="F7">
        <v>32345</v>
      </c>
      <c r="G7">
        <v>6479</v>
      </c>
      <c r="H7">
        <v>41514</v>
      </c>
      <c r="I7">
        <v>0.221</v>
      </c>
      <c r="J7">
        <v>50886</v>
      </c>
    </row>
    <row r="8" spans="1:10" x14ac:dyDescent="0.2">
      <c r="A8">
        <v>1998</v>
      </c>
      <c r="B8">
        <v>49290</v>
      </c>
      <c r="C8">
        <v>1.35</v>
      </c>
      <c r="D8">
        <v>66472</v>
      </c>
      <c r="E8">
        <v>5090</v>
      </c>
      <c r="F8">
        <v>61382</v>
      </c>
      <c r="G8">
        <v>17042</v>
      </c>
      <c r="H8">
        <v>83514</v>
      </c>
      <c r="I8">
        <v>0.26500000000000001</v>
      </c>
      <c r="J8">
        <v>119925</v>
      </c>
    </row>
    <row r="9" spans="1:10" x14ac:dyDescent="0.2">
      <c r="A9">
        <v>1999</v>
      </c>
      <c r="B9">
        <v>59052</v>
      </c>
      <c r="C9">
        <v>1.1200000000000001</v>
      </c>
      <c r="D9">
        <v>66343</v>
      </c>
      <c r="E9">
        <v>5575</v>
      </c>
      <c r="F9">
        <v>60768</v>
      </c>
      <c r="G9">
        <v>9009</v>
      </c>
      <c r="H9">
        <v>75352</v>
      </c>
      <c r="I9">
        <v>0.19400000000000001</v>
      </c>
      <c r="J9">
        <v>117176</v>
      </c>
    </row>
    <row r="10" spans="1:10" x14ac:dyDescent="0.2">
      <c r="A10">
        <v>2000</v>
      </c>
      <c r="B10">
        <v>70147</v>
      </c>
      <c r="C10">
        <v>1</v>
      </c>
      <c r="D10">
        <v>70147</v>
      </c>
      <c r="E10">
        <v>5447</v>
      </c>
      <c r="F10">
        <v>64700</v>
      </c>
      <c r="G10">
        <v>11520</v>
      </c>
      <c r="H10">
        <v>81667</v>
      </c>
      <c r="I10">
        <v>0.20799999999999999</v>
      </c>
      <c r="J10">
        <v>109148</v>
      </c>
    </row>
    <row r="11" spans="1:10" x14ac:dyDescent="0.2">
      <c r="A11">
        <v>2001</v>
      </c>
      <c r="B11">
        <v>107493</v>
      </c>
      <c r="C11">
        <v>1</v>
      </c>
      <c r="D11">
        <v>107493</v>
      </c>
      <c r="E11">
        <v>3099</v>
      </c>
      <c r="F11">
        <v>104394</v>
      </c>
      <c r="G11">
        <v>11739</v>
      </c>
      <c r="H11">
        <v>119232</v>
      </c>
      <c r="I11">
        <v>0.124</v>
      </c>
      <c r="J11">
        <v>162777</v>
      </c>
    </row>
    <row r="12" spans="1:10" x14ac:dyDescent="0.2">
      <c r="A12">
        <v>2002</v>
      </c>
      <c r="B12">
        <v>223162</v>
      </c>
      <c r="C12">
        <v>1</v>
      </c>
      <c r="D12">
        <v>223162</v>
      </c>
      <c r="E12">
        <v>3802</v>
      </c>
      <c r="F12">
        <v>219360</v>
      </c>
      <c r="G12">
        <v>33238</v>
      </c>
      <c r="H12">
        <v>256400</v>
      </c>
      <c r="I12">
        <v>0.14399999999999999</v>
      </c>
      <c r="J12">
        <v>303275</v>
      </c>
    </row>
    <row r="13" spans="1:10" x14ac:dyDescent="0.2">
      <c r="A13">
        <v>2003</v>
      </c>
      <c r="B13">
        <v>186755</v>
      </c>
      <c r="C13">
        <v>1</v>
      </c>
      <c r="D13">
        <v>186755</v>
      </c>
      <c r="E13">
        <v>3643</v>
      </c>
      <c r="F13">
        <v>183112</v>
      </c>
      <c r="G13">
        <v>25139</v>
      </c>
      <c r="H13">
        <v>211894</v>
      </c>
      <c r="I13">
        <v>0.13600000000000001</v>
      </c>
      <c r="J13">
        <v>265090</v>
      </c>
    </row>
    <row r="14" spans="1:10" x14ac:dyDescent="0.2">
      <c r="A14">
        <v>2004</v>
      </c>
      <c r="B14">
        <v>139011</v>
      </c>
      <c r="C14">
        <v>1</v>
      </c>
      <c r="D14">
        <v>139011</v>
      </c>
      <c r="E14">
        <v>9684</v>
      </c>
      <c r="F14">
        <v>129327</v>
      </c>
      <c r="G14">
        <v>25898</v>
      </c>
      <c r="H14">
        <v>164909</v>
      </c>
      <c r="I14">
        <v>0.216</v>
      </c>
      <c r="J14">
        <v>251537</v>
      </c>
    </row>
    <row r="15" spans="1:10" x14ac:dyDescent="0.2">
      <c r="A15">
        <v>2005</v>
      </c>
      <c r="B15">
        <v>143817</v>
      </c>
      <c r="C15">
        <v>1</v>
      </c>
      <c r="D15">
        <v>143817</v>
      </c>
      <c r="E15">
        <v>8259</v>
      </c>
      <c r="F15">
        <v>135558</v>
      </c>
      <c r="G15">
        <v>21718</v>
      </c>
      <c r="H15">
        <v>165535</v>
      </c>
      <c r="I15">
        <v>0.18099999999999999</v>
      </c>
      <c r="J15">
        <v>222997</v>
      </c>
    </row>
    <row r="16" spans="1:10" x14ac:dyDescent="0.2">
      <c r="A16">
        <v>2006</v>
      </c>
      <c r="B16">
        <v>134053</v>
      </c>
      <c r="C16">
        <v>1</v>
      </c>
      <c r="D16">
        <v>134053</v>
      </c>
      <c r="E16">
        <v>11669</v>
      </c>
      <c r="F16">
        <v>122384</v>
      </c>
      <c r="G16">
        <v>36170</v>
      </c>
      <c r="H16">
        <v>170223</v>
      </c>
      <c r="I16">
        <v>0.28100000000000003</v>
      </c>
      <c r="J16">
        <v>226694</v>
      </c>
    </row>
    <row r="17" spans="1:10" x14ac:dyDescent="0.2">
      <c r="A17">
        <v>2007</v>
      </c>
      <c r="B17">
        <v>82319</v>
      </c>
      <c r="C17">
        <v>1</v>
      </c>
      <c r="D17">
        <v>82319</v>
      </c>
      <c r="E17">
        <v>8073</v>
      </c>
      <c r="F17">
        <v>74246</v>
      </c>
      <c r="G17">
        <v>16617</v>
      </c>
      <c r="H17">
        <v>98936</v>
      </c>
      <c r="I17">
        <v>0.25</v>
      </c>
      <c r="J17">
        <v>133301</v>
      </c>
    </row>
    <row r="18" spans="1:10" x14ac:dyDescent="0.2">
      <c r="A18">
        <v>2008</v>
      </c>
      <c r="B18">
        <v>99199</v>
      </c>
      <c r="C18">
        <v>1</v>
      </c>
      <c r="D18">
        <v>99199</v>
      </c>
      <c r="E18">
        <v>3973</v>
      </c>
      <c r="F18">
        <v>95226</v>
      </c>
      <c r="G18">
        <v>24390</v>
      </c>
      <c r="H18">
        <v>123589</v>
      </c>
      <c r="I18">
        <v>0.22900000000000001</v>
      </c>
      <c r="J18">
        <v>174070</v>
      </c>
    </row>
    <row r="19" spans="1:10" x14ac:dyDescent="0.2">
      <c r="A19">
        <v>2009</v>
      </c>
      <c r="B19">
        <v>113716</v>
      </c>
      <c r="C19">
        <v>1</v>
      </c>
      <c r="D19">
        <v>113716</v>
      </c>
      <c r="E19">
        <v>9766</v>
      </c>
      <c r="F19">
        <v>103950</v>
      </c>
      <c r="G19">
        <v>42946</v>
      </c>
      <c r="H19">
        <v>156662</v>
      </c>
      <c r="I19">
        <v>0.33600000000000002</v>
      </c>
      <c r="J19">
        <v>224010</v>
      </c>
    </row>
    <row r="20" spans="1:10" x14ac:dyDescent="0.2">
      <c r="A20">
        <v>2010</v>
      </c>
      <c r="B20">
        <v>141238</v>
      </c>
      <c r="C20">
        <v>1</v>
      </c>
      <c r="D20">
        <v>141238</v>
      </c>
      <c r="E20">
        <v>14408</v>
      </c>
      <c r="F20">
        <v>126830</v>
      </c>
      <c r="G20">
        <v>55254</v>
      </c>
      <c r="H20">
        <v>196492</v>
      </c>
      <c r="I20">
        <v>0.35499999999999998</v>
      </c>
      <c r="J20">
        <v>246822</v>
      </c>
    </row>
    <row r="21" spans="1:10" x14ac:dyDescent="0.2">
      <c r="A21">
        <v>2011</v>
      </c>
      <c r="B21">
        <v>83349</v>
      </c>
      <c r="C21">
        <v>1</v>
      </c>
      <c r="D21">
        <v>83349</v>
      </c>
      <c r="E21">
        <v>12478</v>
      </c>
      <c r="F21">
        <v>70871</v>
      </c>
      <c r="G21">
        <v>9393</v>
      </c>
      <c r="H21">
        <v>92742</v>
      </c>
      <c r="I21">
        <v>0.23599999999999999</v>
      </c>
      <c r="J21">
        <v>129939</v>
      </c>
    </row>
    <row r="22" spans="1:10" x14ac:dyDescent="0.2">
      <c r="A22">
        <v>2012</v>
      </c>
      <c r="B22">
        <v>61797</v>
      </c>
      <c r="C22">
        <v>1.37</v>
      </c>
      <c r="D22">
        <v>84847</v>
      </c>
      <c r="E22">
        <v>14072</v>
      </c>
      <c r="F22">
        <v>70775</v>
      </c>
      <c r="G22">
        <v>11554</v>
      </c>
      <c r="H22">
        <v>96401</v>
      </c>
      <c r="I22">
        <v>0.26600000000000001</v>
      </c>
      <c r="J22">
        <v>112947</v>
      </c>
    </row>
    <row r="23" spans="1:10" x14ac:dyDescent="0.2">
      <c r="A23">
        <v>2013</v>
      </c>
      <c r="B23">
        <v>55161</v>
      </c>
      <c r="C23">
        <v>1.42</v>
      </c>
      <c r="D23">
        <v>78492</v>
      </c>
      <c r="E23">
        <v>10375</v>
      </c>
      <c r="F23">
        <v>68117</v>
      </c>
      <c r="G23">
        <v>25300</v>
      </c>
      <c r="H23">
        <v>103792</v>
      </c>
      <c r="I23">
        <v>0.34399999999999997</v>
      </c>
      <c r="J23">
        <v>143410</v>
      </c>
    </row>
    <row r="24" spans="1:10" x14ac:dyDescent="0.2">
      <c r="A24">
        <v>2014</v>
      </c>
      <c r="B24">
        <v>140739</v>
      </c>
      <c r="C24">
        <v>1</v>
      </c>
      <c r="D24">
        <v>140739</v>
      </c>
      <c r="E24">
        <v>16568</v>
      </c>
      <c r="F24">
        <v>124171</v>
      </c>
      <c r="G24">
        <v>31149</v>
      </c>
      <c r="H24">
        <v>171888</v>
      </c>
      <c r="I24">
        <v>0.27800000000000002</v>
      </c>
      <c r="J24">
        <v>189655</v>
      </c>
    </row>
    <row r="25" spans="1:10" x14ac:dyDescent="0.2">
      <c r="A25">
        <v>2015</v>
      </c>
      <c r="B25">
        <v>70361</v>
      </c>
      <c r="C25">
        <v>1</v>
      </c>
      <c r="D25">
        <v>70361</v>
      </c>
      <c r="E25">
        <v>10183</v>
      </c>
      <c r="F25">
        <v>60178</v>
      </c>
      <c r="G25">
        <v>9558</v>
      </c>
      <c r="H25">
        <v>79919</v>
      </c>
      <c r="I25">
        <v>0.247</v>
      </c>
      <c r="J25">
        <v>105882</v>
      </c>
    </row>
    <row r="26" spans="1:10" x14ac:dyDescent="0.2">
      <c r="A26">
        <v>2016</v>
      </c>
      <c r="B26">
        <v>99224</v>
      </c>
      <c r="C26">
        <v>1</v>
      </c>
      <c r="D26">
        <v>99224</v>
      </c>
      <c r="E26">
        <v>11520</v>
      </c>
      <c r="F26">
        <v>87704</v>
      </c>
      <c r="G26">
        <v>11993</v>
      </c>
      <c r="H26">
        <v>111217</v>
      </c>
      <c r="I26">
        <v>0.21099999999999999</v>
      </c>
      <c r="J26">
        <v>124272</v>
      </c>
    </row>
    <row r="27" spans="1:10" x14ac:dyDescent="0.2">
      <c r="A27">
        <v>2017</v>
      </c>
      <c r="B27">
        <v>65670</v>
      </c>
      <c r="C27">
        <v>1</v>
      </c>
      <c r="D27">
        <v>65670</v>
      </c>
      <c r="E27">
        <v>7802</v>
      </c>
      <c r="F27">
        <v>57868</v>
      </c>
      <c r="G27">
        <v>12386</v>
      </c>
      <c r="H27">
        <v>78056</v>
      </c>
      <c r="I27">
        <v>0.25900000000000001</v>
      </c>
      <c r="J27">
        <v>108262</v>
      </c>
    </row>
    <row r="28" spans="1:10" x14ac:dyDescent="0.2">
      <c r="A28">
        <v>2018</v>
      </c>
      <c r="B28">
        <v>60678</v>
      </c>
      <c r="C28">
        <v>1</v>
      </c>
      <c r="D28">
        <v>60678</v>
      </c>
      <c r="E28">
        <v>9505</v>
      </c>
      <c r="F28">
        <v>51173</v>
      </c>
      <c r="G28">
        <v>24807</v>
      </c>
      <c r="H28">
        <v>85485</v>
      </c>
      <c r="I28">
        <v>0.40100000000000002</v>
      </c>
      <c r="J28">
        <v>83601</v>
      </c>
    </row>
    <row r="29" spans="1:10" x14ac:dyDescent="0.2">
      <c r="A29">
        <v>2019</v>
      </c>
      <c r="B29">
        <v>95011</v>
      </c>
      <c r="C29">
        <v>1</v>
      </c>
      <c r="D29">
        <v>95011</v>
      </c>
      <c r="E29">
        <v>12252</v>
      </c>
      <c r="F29">
        <v>82759</v>
      </c>
      <c r="G29">
        <v>10099</v>
      </c>
      <c r="H29">
        <v>105110</v>
      </c>
      <c r="I29">
        <v>0.21299999999999999</v>
      </c>
      <c r="J29">
        <v>117087</v>
      </c>
    </row>
    <row r="30" spans="1:10" x14ac:dyDescent="0.2">
      <c r="A30">
        <v>2020</v>
      </c>
      <c r="B30">
        <v>53707</v>
      </c>
      <c r="C30">
        <v>1.1000000000000001</v>
      </c>
      <c r="D30">
        <v>59099</v>
      </c>
      <c r="E30">
        <v>7036</v>
      </c>
      <c r="F30">
        <v>52063</v>
      </c>
      <c r="G30">
        <v>2836</v>
      </c>
      <c r="H30">
        <v>61935</v>
      </c>
      <c r="I30">
        <v>0.159</v>
      </c>
      <c r="J30">
        <v>73863</v>
      </c>
    </row>
    <row r="31" spans="1:10" x14ac:dyDescent="0.2">
      <c r="A31">
        <v>2021</v>
      </c>
      <c r="B31">
        <v>85800</v>
      </c>
      <c r="C31">
        <v>1.01</v>
      </c>
      <c r="D31">
        <v>86406</v>
      </c>
      <c r="E31">
        <v>10880</v>
      </c>
      <c r="F31">
        <v>75526</v>
      </c>
      <c r="G31">
        <v>13626</v>
      </c>
      <c r="H31">
        <v>100032</v>
      </c>
      <c r="I31">
        <v>0.245</v>
      </c>
      <c r="J31">
        <v>116733</v>
      </c>
    </row>
    <row r="32" spans="1:10" x14ac:dyDescent="0.2">
      <c r="A32">
        <v>2022</v>
      </c>
      <c r="B32">
        <v>54446</v>
      </c>
      <c r="C32">
        <v>1.36</v>
      </c>
      <c r="D32">
        <v>73830</v>
      </c>
      <c r="E32">
        <v>7796</v>
      </c>
      <c r="F32">
        <v>66034</v>
      </c>
      <c r="G32">
        <v>16611</v>
      </c>
      <c r="H32">
        <v>90441</v>
      </c>
      <c r="I32">
        <v>0.27</v>
      </c>
      <c r="J32">
        <v>97238</v>
      </c>
    </row>
    <row r="33" spans="1:10" x14ac:dyDescent="0.2">
      <c r="A33">
        <v>2023</v>
      </c>
      <c r="B33">
        <v>100409</v>
      </c>
      <c r="C33">
        <v>1</v>
      </c>
      <c r="D33">
        <v>100409</v>
      </c>
      <c r="E33">
        <v>11387</v>
      </c>
      <c r="F33">
        <v>89022</v>
      </c>
      <c r="G33">
        <v>17514</v>
      </c>
      <c r="H33">
        <v>117923</v>
      </c>
      <c r="I33">
        <v>0.245</v>
      </c>
      <c r="J33">
        <v>138284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1D817-3A19-4EDA-984B-F166BA766A3F}">
  <dimension ref="A1:E33"/>
  <sheetViews>
    <sheetView workbookViewId="0">
      <selection activeCell="G12" sqref="G12"/>
    </sheetView>
  </sheetViews>
  <sheetFormatPr baseColWidth="10" defaultColWidth="8.83203125" defaultRowHeight="15" x14ac:dyDescent="0.2"/>
  <cols>
    <col min="4" max="4" width="15.5" customWidth="1"/>
  </cols>
  <sheetData>
    <row r="1" spans="1:5" x14ac:dyDescent="0.2">
      <c r="A1" s="6" t="s">
        <v>0</v>
      </c>
      <c r="B1" s="6" t="s">
        <v>25</v>
      </c>
      <c r="C1" s="6" t="s">
        <v>26</v>
      </c>
      <c r="D1" s="6" t="s">
        <v>44</v>
      </c>
      <c r="E1" s="6" t="s">
        <v>10</v>
      </c>
    </row>
    <row r="2" spans="1:5" x14ac:dyDescent="0.2">
      <c r="A2" s="6">
        <v>1992</v>
      </c>
      <c r="B2" s="6">
        <v>74226</v>
      </c>
      <c r="C2" s="6">
        <v>431</v>
      </c>
      <c r="D2" s="6">
        <v>88</v>
      </c>
      <c r="E2" s="6">
        <f t="shared" ref="E2:E28" si="0">SUM(B2:D2)</f>
        <v>74745</v>
      </c>
    </row>
    <row r="3" spans="1:5" x14ac:dyDescent="0.2">
      <c r="A3" s="6">
        <v>1993</v>
      </c>
      <c r="B3" s="6">
        <v>32456</v>
      </c>
      <c r="C3" s="6">
        <v>3222</v>
      </c>
      <c r="D3" s="6">
        <v>25</v>
      </c>
      <c r="E3" s="6">
        <f t="shared" si="0"/>
        <v>35703</v>
      </c>
    </row>
    <row r="4" spans="1:5" x14ac:dyDescent="0.2">
      <c r="A4" s="6">
        <v>1994</v>
      </c>
      <c r="B4" s="6">
        <v>82181</v>
      </c>
      <c r="C4" s="6">
        <v>19018</v>
      </c>
      <c r="D4" s="6">
        <v>93</v>
      </c>
      <c r="E4" s="6">
        <f t="shared" si="0"/>
        <v>101292</v>
      </c>
    </row>
    <row r="5" spans="1:5" x14ac:dyDescent="0.2">
      <c r="A5" s="6">
        <v>1995</v>
      </c>
      <c r="B5" s="6">
        <v>51286</v>
      </c>
      <c r="C5" s="6">
        <v>7857</v>
      </c>
      <c r="D5" s="6">
        <v>97</v>
      </c>
      <c r="E5" s="6">
        <f t="shared" si="0"/>
        <v>59240</v>
      </c>
    </row>
    <row r="6" spans="1:5" x14ac:dyDescent="0.2">
      <c r="A6" s="6">
        <v>1996</v>
      </c>
      <c r="B6" s="6">
        <v>14491</v>
      </c>
      <c r="C6" s="6">
        <v>2461</v>
      </c>
      <c r="D6" s="6">
        <v>67</v>
      </c>
      <c r="E6" s="6">
        <f t="shared" si="0"/>
        <v>17019</v>
      </c>
    </row>
    <row r="7" spans="1:5" x14ac:dyDescent="0.2">
      <c r="A7" s="6">
        <v>1997</v>
      </c>
      <c r="B7" s="6">
        <v>1489</v>
      </c>
      <c r="C7" s="6">
        <v>4963</v>
      </c>
      <c r="D7" s="6">
        <v>27</v>
      </c>
      <c r="E7" s="6">
        <f t="shared" si="0"/>
        <v>6479</v>
      </c>
    </row>
    <row r="8" spans="1:5" x14ac:dyDescent="0.2">
      <c r="A8" s="6">
        <v>1998</v>
      </c>
      <c r="B8" s="6">
        <v>12972</v>
      </c>
      <c r="C8" s="6">
        <v>3984</v>
      </c>
      <c r="D8" s="6">
        <v>86</v>
      </c>
      <c r="E8" s="6">
        <f t="shared" si="0"/>
        <v>17042</v>
      </c>
    </row>
    <row r="9" spans="1:5" x14ac:dyDescent="0.2">
      <c r="A9" s="6">
        <v>1999</v>
      </c>
      <c r="B9" s="6">
        <v>5572</v>
      </c>
      <c r="C9" s="6">
        <v>3393</v>
      </c>
      <c r="D9" s="6">
        <v>44</v>
      </c>
      <c r="E9" s="6">
        <f t="shared" si="0"/>
        <v>9009</v>
      </c>
    </row>
    <row r="10" spans="1:5" x14ac:dyDescent="0.2">
      <c r="A10" s="6">
        <v>2000</v>
      </c>
      <c r="B10" s="6">
        <v>7352</v>
      </c>
      <c r="C10" s="6">
        <v>4137</v>
      </c>
      <c r="D10" s="6">
        <v>31</v>
      </c>
      <c r="E10" s="6">
        <f t="shared" si="0"/>
        <v>11520</v>
      </c>
    </row>
    <row r="11" spans="1:5" x14ac:dyDescent="0.2">
      <c r="A11" s="6">
        <v>2001</v>
      </c>
      <c r="B11" s="6">
        <v>9212</v>
      </c>
      <c r="C11" s="6">
        <v>2505</v>
      </c>
      <c r="D11" s="6">
        <v>22</v>
      </c>
      <c r="E11" s="6">
        <f t="shared" si="0"/>
        <v>11739</v>
      </c>
    </row>
    <row r="12" spans="1:5" x14ac:dyDescent="0.2">
      <c r="A12" s="6">
        <v>2002</v>
      </c>
      <c r="B12" s="6">
        <v>26981</v>
      </c>
      <c r="C12" s="6">
        <v>6189</v>
      </c>
      <c r="D12" s="6">
        <v>68</v>
      </c>
      <c r="E12" s="6">
        <f t="shared" si="0"/>
        <v>33238</v>
      </c>
    </row>
    <row r="13" spans="1:5" x14ac:dyDescent="0.2">
      <c r="A13" s="6">
        <v>2003</v>
      </c>
      <c r="B13" s="6">
        <v>19659</v>
      </c>
      <c r="C13" s="6">
        <v>5421</v>
      </c>
      <c r="D13" s="6">
        <v>59</v>
      </c>
      <c r="E13" s="6">
        <f t="shared" si="0"/>
        <v>25139</v>
      </c>
    </row>
    <row r="14" spans="1:5" x14ac:dyDescent="0.2">
      <c r="A14" s="6">
        <v>2004</v>
      </c>
      <c r="B14" s="6">
        <v>13058</v>
      </c>
      <c r="C14" s="6">
        <v>12720</v>
      </c>
      <c r="D14" s="6">
        <v>120</v>
      </c>
      <c r="E14" s="6">
        <f t="shared" si="0"/>
        <v>25898</v>
      </c>
    </row>
    <row r="15" spans="1:5" x14ac:dyDescent="0.2">
      <c r="A15" s="6">
        <v>2005</v>
      </c>
      <c r="B15" s="6">
        <v>18011</v>
      </c>
      <c r="C15" s="6">
        <v>3573</v>
      </c>
      <c r="D15" s="6">
        <v>134</v>
      </c>
      <c r="E15" s="6">
        <f t="shared" si="0"/>
        <v>21718</v>
      </c>
    </row>
    <row r="16" spans="1:5" x14ac:dyDescent="0.2">
      <c r="A16" s="6">
        <v>2006</v>
      </c>
      <c r="B16" s="6">
        <v>32051</v>
      </c>
      <c r="C16" s="6">
        <v>3985</v>
      </c>
      <c r="D16" s="6">
        <v>134</v>
      </c>
      <c r="E16" s="6">
        <f t="shared" si="0"/>
        <v>36170</v>
      </c>
    </row>
    <row r="17" spans="1:5" x14ac:dyDescent="0.2">
      <c r="A17" s="6">
        <v>2007</v>
      </c>
      <c r="B17" s="6">
        <v>15753</v>
      </c>
      <c r="C17" s="6">
        <v>804</v>
      </c>
      <c r="D17" s="6">
        <v>60</v>
      </c>
      <c r="E17" s="6">
        <f t="shared" si="0"/>
        <v>16617</v>
      </c>
    </row>
    <row r="18" spans="1:5" x14ac:dyDescent="0.2">
      <c r="A18" s="6">
        <v>2008</v>
      </c>
      <c r="B18" s="6">
        <v>23806</v>
      </c>
      <c r="C18" s="6">
        <v>493</v>
      </c>
      <c r="D18" s="6">
        <v>91</v>
      </c>
      <c r="E18" s="6">
        <f t="shared" si="0"/>
        <v>24390</v>
      </c>
    </row>
    <row r="19" spans="1:5" x14ac:dyDescent="0.2">
      <c r="A19" s="6">
        <v>2009</v>
      </c>
      <c r="B19" s="6">
        <v>36757</v>
      </c>
      <c r="C19" s="6">
        <v>5949</v>
      </c>
      <c r="D19" s="6">
        <v>240</v>
      </c>
      <c r="E19" s="6">
        <f t="shared" si="0"/>
        <v>42946</v>
      </c>
    </row>
    <row r="20" spans="1:5" x14ac:dyDescent="0.2">
      <c r="A20" s="6">
        <v>2010</v>
      </c>
      <c r="B20" s="6">
        <v>41695</v>
      </c>
      <c r="C20" s="6">
        <v>13301</v>
      </c>
      <c r="D20" s="6">
        <v>258</v>
      </c>
      <c r="E20" s="6">
        <f t="shared" si="0"/>
        <v>55254</v>
      </c>
    </row>
    <row r="21" spans="1:5" x14ac:dyDescent="0.2">
      <c r="A21" s="6">
        <v>2011</v>
      </c>
      <c r="B21" s="6">
        <v>4829</v>
      </c>
      <c r="C21" s="6">
        <v>4340</v>
      </c>
      <c r="D21" s="6">
        <v>224</v>
      </c>
      <c r="E21" s="6">
        <f t="shared" si="0"/>
        <v>9393</v>
      </c>
    </row>
    <row r="22" spans="1:5" x14ac:dyDescent="0.2">
      <c r="A22" s="6">
        <v>2012</v>
      </c>
      <c r="B22" s="6">
        <v>10760</v>
      </c>
      <c r="C22" s="6">
        <v>662</v>
      </c>
      <c r="D22" s="6">
        <v>132</v>
      </c>
      <c r="E22" s="6">
        <f t="shared" si="0"/>
        <v>11554</v>
      </c>
    </row>
    <row r="23" spans="1:5" x14ac:dyDescent="0.2">
      <c r="A23" s="6">
        <v>2013</v>
      </c>
      <c r="B23" s="6">
        <v>23269</v>
      </c>
      <c r="C23" s="6">
        <v>1793</v>
      </c>
      <c r="D23" s="6">
        <v>238</v>
      </c>
      <c r="E23" s="6">
        <f t="shared" si="0"/>
        <v>25300</v>
      </c>
    </row>
    <row r="24" spans="1:5" x14ac:dyDescent="0.2">
      <c r="A24" s="6">
        <v>2014</v>
      </c>
      <c r="B24" s="6">
        <v>28297</v>
      </c>
      <c r="C24" s="6">
        <v>2628</v>
      </c>
      <c r="D24" s="6">
        <v>224</v>
      </c>
      <c r="E24" s="6">
        <f t="shared" si="0"/>
        <v>31149</v>
      </c>
    </row>
    <row r="25" spans="1:5" x14ac:dyDescent="0.2">
      <c r="A25" s="6">
        <v>2015</v>
      </c>
      <c r="B25" s="6">
        <v>6239</v>
      </c>
      <c r="C25" s="6">
        <v>3063</v>
      </c>
      <c r="D25" s="6">
        <v>256</v>
      </c>
      <c r="E25" s="6">
        <f t="shared" si="0"/>
        <v>9558</v>
      </c>
    </row>
    <row r="26" spans="1:5" x14ac:dyDescent="0.2">
      <c r="A26" s="6">
        <v>2016</v>
      </c>
      <c r="B26" s="6">
        <v>11406</v>
      </c>
      <c r="C26" s="6">
        <v>418</v>
      </c>
      <c r="D26" s="6">
        <v>169</v>
      </c>
      <c r="E26" s="6">
        <f t="shared" si="0"/>
        <v>11993</v>
      </c>
    </row>
    <row r="27" spans="1:5" x14ac:dyDescent="0.2">
      <c r="A27" s="6">
        <v>2017</v>
      </c>
      <c r="B27" s="6">
        <v>7559</v>
      </c>
      <c r="C27" s="6">
        <v>4649</v>
      </c>
      <c r="D27" s="6">
        <v>178</v>
      </c>
      <c r="E27" s="6">
        <f t="shared" si="0"/>
        <v>12386</v>
      </c>
    </row>
    <row r="28" spans="1:5" x14ac:dyDescent="0.2">
      <c r="A28" s="6">
        <v>2018</v>
      </c>
      <c r="B28" s="6">
        <v>17287</v>
      </c>
      <c r="C28" s="6">
        <v>7274</v>
      </c>
      <c r="D28" s="6">
        <v>246</v>
      </c>
      <c r="E28" s="6">
        <f t="shared" si="0"/>
        <v>24807</v>
      </c>
    </row>
    <row r="29" spans="1:5" x14ac:dyDescent="0.2">
      <c r="A29" s="6">
        <v>2019</v>
      </c>
      <c r="B29" s="6">
        <v>6317</v>
      </c>
      <c r="C29" s="6">
        <v>3476</v>
      </c>
      <c r="D29" s="6">
        <v>306</v>
      </c>
      <c r="E29" s="6">
        <f>SUM(B29:D29)</f>
        <v>10099</v>
      </c>
    </row>
    <row r="30" spans="1:5" x14ac:dyDescent="0.2">
      <c r="A30" s="6">
        <v>2020</v>
      </c>
      <c r="B30" s="6">
        <v>2557</v>
      </c>
      <c r="C30" s="6">
        <v>0</v>
      </c>
      <c r="D30" s="6">
        <v>279</v>
      </c>
      <c r="E30" s="6">
        <f>SUM(B30:D30)</f>
        <v>2836</v>
      </c>
    </row>
    <row r="31" spans="1:5" x14ac:dyDescent="0.2">
      <c r="A31" s="6">
        <v>2021</v>
      </c>
      <c r="B31" s="6">
        <v>10977</v>
      </c>
      <c r="C31" s="6">
        <v>2439</v>
      </c>
      <c r="D31" s="6">
        <v>210</v>
      </c>
      <c r="E31" s="6">
        <f>SUM(B31:D31)</f>
        <v>13626</v>
      </c>
    </row>
    <row r="32" spans="1:5" x14ac:dyDescent="0.2">
      <c r="A32" s="6">
        <v>2022</v>
      </c>
      <c r="B32" s="6">
        <v>12066</v>
      </c>
      <c r="C32" s="6">
        <v>4364</v>
      </c>
      <c r="D32" s="6">
        <v>181</v>
      </c>
      <c r="E32" s="6">
        <f>SUM(B32:D32)</f>
        <v>16611</v>
      </c>
    </row>
    <row r="33" spans="1:5" x14ac:dyDescent="0.2">
      <c r="A33" s="6">
        <v>2023</v>
      </c>
      <c r="B33" s="6">
        <v>12292</v>
      </c>
      <c r="C33" s="6">
        <v>4997</v>
      </c>
      <c r="D33" s="6">
        <v>226</v>
      </c>
      <c r="E33" s="6">
        <f>SUM(B33:D33)</f>
        <v>17515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66C08-F54E-48E6-907D-D6FB95DCE877}">
  <dimension ref="A1:F58"/>
  <sheetViews>
    <sheetView topLeftCell="A30" workbookViewId="0">
      <selection activeCell="L57" sqref="L57"/>
    </sheetView>
  </sheetViews>
  <sheetFormatPr baseColWidth="10" defaultColWidth="8.83203125" defaultRowHeight="15" x14ac:dyDescent="0.2"/>
  <sheetData>
    <row r="1" spans="1:6" x14ac:dyDescent="0.2">
      <c r="A1" t="s">
        <v>0</v>
      </c>
      <c r="B1" t="s">
        <v>46</v>
      </c>
      <c r="C1" t="s">
        <v>47</v>
      </c>
      <c r="D1" t="s">
        <v>45</v>
      </c>
      <c r="E1" t="s">
        <v>44</v>
      </c>
      <c r="F1" t="s">
        <v>48</v>
      </c>
    </row>
    <row r="2" spans="1:6" x14ac:dyDescent="0.2">
      <c r="A2">
        <v>1967</v>
      </c>
      <c r="B2">
        <v>17735</v>
      </c>
      <c r="E2">
        <v>103</v>
      </c>
      <c r="F2">
        <f>SUM(B2:C2)</f>
        <v>17735</v>
      </c>
    </row>
    <row r="3" spans="1:6" x14ac:dyDescent="0.2">
      <c r="A3">
        <v>1968</v>
      </c>
      <c r="B3">
        <v>19501</v>
      </c>
      <c r="E3">
        <v>41</v>
      </c>
      <c r="F3">
        <f t="shared" ref="F3:F58" si="0">SUM(B3:C3)</f>
        <v>19501</v>
      </c>
    </row>
    <row r="4" spans="1:6" x14ac:dyDescent="0.2">
      <c r="A4">
        <v>1969</v>
      </c>
      <c r="B4">
        <v>41169</v>
      </c>
      <c r="E4">
        <v>122</v>
      </c>
      <c r="F4">
        <f t="shared" si="0"/>
        <v>41169</v>
      </c>
    </row>
    <row r="5" spans="1:6" x14ac:dyDescent="0.2">
      <c r="A5">
        <v>1970</v>
      </c>
      <c r="B5">
        <v>50922</v>
      </c>
      <c r="E5">
        <v>304</v>
      </c>
      <c r="F5">
        <f t="shared" si="0"/>
        <v>50922</v>
      </c>
    </row>
    <row r="6" spans="1:6" x14ac:dyDescent="0.2">
      <c r="A6">
        <v>1971</v>
      </c>
      <c r="B6">
        <v>66181</v>
      </c>
      <c r="E6">
        <v>512</v>
      </c>
      <c r="F6">
        <f t="shared" si="0"/>
        <v>66181</v>
      </c>
    </row>
    <row r="7" spans="1:6" x14ac:dyDescent="0.2">
      <c r="A7">
        <v>1972</v>
      </c>
      <c r="B7">
        <v>80404</v>
      </c>
      <c r="E7">
        <v>554</v>
      </c>
      <c r="F7">
        <f t="shared" si="0"/>
        <v>80404</v>
      </c>
    </row>
    <row r="8" spans="1:6" x14ac:dyDescent="0.2">
      <c r="A8">
        <v>1973</v>
      </c>
      <c r="B8">
        <v>85317</v>
      </c>
      <c r="E8">
        <v>1227</v>
      </c>
      <c r="F8">
        <f t="shared" si="0"/>
        <v>85317</v>
      </c>
    </row>
    <row r="9" spans="1:6" x14ac:dyDescent="0.2">
      <c r="A9">
        <v>1974</v>
      </c>
      <c r="B9">
        <v>38670</v>
      </c>
      <c r="E9">
        <v>1431</v>
      </c>
      <c r="F9">
        <f t="shared" si="0"/>
        <v>38670</v>
      </c>
    </row>
    <row r="10" spans="1:6" x14ac:dyDescent="0.2">
      <c r="A10">
        <v>1975</v>
      </c>
      <c r="B10">
        <v>32513</v>
      </c>
      <c r="E10">
        <v>170</v>
      </c>
      <c r="F10">
        <f t="shared" si="0"/>
        <v>32513</v>
      </c>
    </row>
    <row r="11" spans="1:6" x14ac:dyDescent="0.2">
      <c r="A11">
        <v>1976</v>
      </c>
      <c r="B11">
        <v>61749</v>
      </c>
      <c r="E11">
        <v>351</v>
      </c>
      <c r="F11">
        <f t="shared" si="0"/>
        <v>61749</v>
      </c>
    </row>
    <row r="12" spans="1:6" x14ac:dyDescent="0.2">
      <c r="A12">
        <v>1977</v>
      </c>
      <c r="B12">
        <v>70097</v>
      </c>
      <c r="F12">
        <f t="shared" si="0"/>
        <v>70097</v>
      </c>
    </row>
    <row r="13" spans="1:6" x14ac:dyDescent="0.2">
      <c r="A13">
        <v>1978</v>
      </c>
      <c r="B13">
        <v>55398</v>
      </c>
      <c r="F13">
        <f t="shared" si="0"/>
        <v>55398</v>
      </c>
    </row>
    <row r="14" spans="1:6" x14ac:dyDescent="0.2">
      <c r="A14">
        <v>1979</v>
      </c>
      <c r="B14">
        <v>122148</v>
      </c>
      <c r="F14">
        <f t="shared" si="0"/>
        <v>122148</v>
      </c>
    </row>
    <row r="15" spans="1:6" x14ac:dyDescent="0.2">
      <c r="A15">
        <v>1980</v>
      </c>
      <c r="B15">
        <v>123451</v>
      </c>
      <c r="F15">
        <f t="shared" si="0"/>
        <v>123451</v>
      </c>
    </row>
    <row r="16" spans="1:6" x14ac:dyDescent="0.2">
      <c r="A16">
        <v>1981</v>
      </c>
      <c r="B16">
        <v>49942</v>
      </c>
      <c r="F16">
        <f t="shared" si="0"/>
        <v>49942</v>
      </c>
    </row>
    <row r="17" spans="1:6" x14ac:dyDescent="0.2">
      <c r="A17">
        <v>1982</v>
      </c>
      <c r="B17">
        <v>83625</v>
      </c>
      <c r="F17">
        <f t="shared" si="0"/>
        <v>83625</v>
      </c>
    </row>
    <row r="18" spans="1:6" x14ac:dyDescent="0.2">
      <c r="A18">
        <v>1983</v>
      </c>
      <c r="B18">
        <v>31821</v>
      </c>
      <c r="F18">
        <f t="shared" si="0"/>
        <v>31821</v>
      </c>
    </row>
    <row r="19" spans="1:6" x14ac:dyDescent="0.2">
      <c r="A19">
        <v>1984</v>
      </c>
      <c r="B19">
        <v>77233</v>
      </c>
      <c r="F19">
        <f t="shared" si="0"/>
        <v>77233</v>
      </c>
    </row>
    <row r="20" spans="1:6" x14ac:dyDescent="0.2">
      <c r="A20">
        <v>1985</v>
      </c>
      <c r="B20">
        <v>88077</v>
      </c>
      <c r="E20">
        <v>920</v>
      </c>
      <c r="F20">
        <f t="shared" si="0"/>
        <v>88077</v>
      </c>
    </row>
    <row r="21" spans="1:6" x14ac:dyDescent="0.2">
      <c r="A21">
        <v>1986</v>
      </c>
      <c r="B21">
        <v>73061</v>
      </c>
      <c r="F21">
        <f t="shared" si="0"/>
        <v>73061</v>
      </c>
    </row>
    <row r="22" spans="1:6" x14ac:dyDescent="0.2">
      <c r="A22">
        <v>1987</v>
      </c>
      <c r="B22">
        <v>75212</v>
      </c>
      <c r="F22">
        <f t="shared" si="0"/>
        <v>75212</v>
      </c>
    </row>
    <row r="23" spans="1:6" x14ac:dyDescent="0.2">
      <c r="A23">
        <v>1988</v>
      </c>
      <c r="B23">
        <v>38923</v>
      </c>
      <c r="F23">
        <f t="shared" si="0"/>
        <v>38923</v>
      </c>
    </row>
    <row r="24" spans="1:6" x14ac:dyDescent="0.2">
      <c r="A24">
        <v>1989</v>
      </c>
      <c r="B24">
        <v>74019</v>
      </c>
      <c r="E24">
        <v>562</v>
      </c>
      <c r="F24">
        <f t="shared" si="0"/>
        <v>74019</v>
      </c>
    </row>
    <row r="25" spans="1:6" x14ac:dyDescent="0.2">
      <c r="A25">
        <v>1990</v>
      </c>
      <c r="B25">
        <v>126884</v>
      </c>
      <c r="E25">
        <v>793</v>
      </c>
      <c r="F25">
        <f t="shared" si="0"/>
        <v>126884</v>
      </c>
    </row>
    <row r="26" spans="1:6" x14ac:dyDescent="0.2">
      <c r="A26">
        <v>1991</v>
      </c>
      <c r="B26">
        <v>111002</v>
      </c>
      <c r="E26">
        <v>800</v>
      </c>
      <c r="F26">
        <f t="shared" si="0"/>
        <v>111002</v>
      </c>
    </row>
    <row r="27" spans="1:6" x14ac:dyDescent="0.2">
      <c r="A27">
        <v>1992</v>
      </c>
      <c r="B27">
        <v>132669</v>
      </c>
      <c r="E27">
        <v>1217</v>
      </c>
      <c r="F27">
        <f t="shared" si="0"/>
        <v>132669</v>
      </c>
    </row>
    <row r="28" spans="1:6" x14ac:dyDescent="0.2">
      <c r="A28">
        <v>1993</v>
      </c>
      <c r="B28">
        <v>171373</v>
      </c>
      <c r="E28">
        <v>1201</v>
      </c>
      <c r="F28">
        <f t="shared" si="0"/>
        <v>171373</v>
      </c>
    </row>
    <row r="29" spans="1:6" x14ac:dyDescent="0.2">
      <c r="A29">
        <v>1994</v>
      </c>
      <c r="B29">
        <v>105758</v>
      </c>
      <c r="E29">
        <v>1111</v>
      </c>
      <c r="F29">
        <f t="shared" si="0"/>
        <v>105758</v>
      </c>
    </row>
    <row r="30" spans="1:6" x14ac:dyDescent="0.2">
      <c r="A30">
        <v>1995</v>
      </c>
      <c r="B30">
        <v>86929</v>
      </c>
      <c r="C30">
        <v>4065</v>
      </c>
      <c r="E30">
        <v>990</v>
      </c>
      <c r="F30">
        <f t="shared" si="0"/>
        <v>90994</v>
      </c>
    </row>
    <row r="31" spans="1:6" x14ac:dyDescent="0.2">
      <c r="A31">
        <v>1996</v>
      </c>
      <c r="B31">
        <v>181776</v>
      </c>
      <c r="C31">
        <v>4762</v>
      </c>
      <c r="E31">
        <v>1189</v>
      </c>
      <c r="F31">
        <f t="shared" si="0"/>
        <v>186538</v>
      </c>
    </row>
    <row r="32" spans="1:6" x14ac:dyDescent="0.2">
      <c r="A32">
        <v>1997</v>
      </c>
      <c r="B32">
        <v>76043</v>
      </c>
      <c r="C32">
        <v>2031</v>
      </c>
      <c r="E32">
        <v>1053</v>
      </c>
      <c r="F32">
        <f t="shared" si="0"/>
        <v>78074</v>
      </c>
    </row>
    <row r="33" spans="1:6" x14ac:dyDescent="0.2">
      <c r="A33">
        <v>1998</v>
      </c>
      <c r="B33">
        <v>47824</v>
      </c>
      <c r="C33">
        <v>806</v>
      </c>
      <c r="E33">
        <v>1202</v>
      </c>
      <c r="F33">
        <f t="shared" si="0"/>
        <v>48630</v>
      </c>
    </row>
    <row r="34" spans="1:6" x14ac:dyDescent="0.2">
      <c r="A34">
        <v>1999</v>
      </c>
      <c r="B34">
        <v>61205</v>
      </c>
      <c r="C34">
        <v>599</v>
      </c>
      <c r="E34">
        <v>1254</v>
      </c>
      <c r="F34">
        <f t="shared" si="0"/>
        <v>61804</v>
      </c>
    </row>
    <row r="35" spans="1:6" x14ac:dyDescent="0.2">
      <c r="A35">
        <v>2000</v>
      </c>
      <c r="B35">
        <v>128567</v>
      </c>
      <c r="C35">
        <v>1561</v>
      </c>
      <c r="E35">
        <v>1134</v>
      </c>
      <c r="F35">
        <f t="shared" si="0"/>
        <v>130128</v>
      </c>
    </row>
    <row r="36" spans="1:6" x14ac:dyDescent="0.2">
      <c r="A36">
        <v>2001</v>
      </c>
      <c r="B36">
        <v>194091</v>
      </c>
      <c r="C36">
        <v>8880</v>
      </c>
      <c r="E36">
        <v>1462</v>
      </c>
      <c r="F36">
        <f t="shared" si="0"/>
        <v>202971</v>
      </c>
    </row>
    <row r="37" spans="1:6" x14ac:dyDescent="0.2">
      <c r="A37">
        <v>2002</v>
      </c>
      <c r="B37">
        <v>114460</v>
      </c>
      <c r="C37">
        <v>651</v>
      </c>
      <c r="E37">
        <v>1289</v>
      </c>
      <c r="F37">
        <f t="shared" si="0"/>
        <v>115111</v>
      </c>
    </row>
    <row r="38" spans="1:6" x14ac:dyDescent="0.2">
      <c r="A38">
        <v>2003</v>
      </c>
      <c r="B38">
        <v>134957</v>
      </c>
      <c r="C38">
        <v>767</v>
      </c>
      <c r="E38">
        <v>1218</v>
      </c>
      <c r="F38">
        <f t="shared" si="0"/>
        <v>135724</v>
      </c>
    </row>
    <row r="39" spans="1:6" x14ac:dyDescent="0.2">
      <c r="A39">
        <v>2004</v>
      </c>
      <c r="B39">
        <v>75186</v>
      </c>
      <c r="C39">
        <v>676</v>
      </c>
      <c r="E39">
        <v>1150</v>
      </c>
      <c r="F39">
        <f t="shared" si="0"/>
        <v>75862</v>
      </c>
    </row>
    <row r="40" spans="1:6" x14ac:dyDescent="0.2">
      <c r="A40">
        <v>2005</v>
      </c>
      <c r="B40">
        <v>44360</v>
      </c>
      <c r="C40">
        <v>579</v>
      </c>
      <c r="E40">
        <v>1150</v>
      </c>
      <c r="F40">
        <f t="shared" si="0"/>
        <v>44939</v>
      </c>
    </row>
    <row r="41" spans="1:6" x14ac:dyDescent="0.2">
      <c r="A41">
        <v>2006</v>
      </c>
      <c r="B41">
        <v>62814</v>
      </c>
      <c r="C41">
        <v>2210</v>
      </c>
      <c r="E41">
        <v>804</v>
      </c>
      <c r="F41">
        <f t="shared" si="0"/>
        <v>65024</v>
      </c>
    </row>
    <row r="42" spans="1:6" x14ac:dyDescent="0.2">
      <c r="A42">
        <v>2007</v>
      </c>
      <c r="B42">
        <v>60879</v>
      </c>
      <c r="C42">
        <v>3684</v>
      </c>
      <c r="E42">
        <v>566</v>
      </c>
      <c r="F42">
        <f t="shared" si="0"/>
        <v>64563</v>
      </c>
    </row>
    <row r="43" spans="1:6" x14ac:dyDescent="0.2">
      <c r="A43">
        <v>2008</v>
      </c>
      <c r="B43">
        <v>63002</v>
      </c>
      <c r="C43">
        <v>11680</v>
      </c>
      <c r="E43">
        <v>1010</v>
      </c>
      <c r="F43">
        <f t="shared" si="0"/>
        <v>74682</v>
      </c>
    </row>
    <row r="44" spans="1:6" x14ac:dyDescent="0.2">
      <c r="A44">
        <v>2009</v>
      </c>
      <c r="B44">
        <v>35121</v>
      </c>
      <c r="C44">
        <v>240</v>
      </c>
      <c r="E44">
        <v>871</v>
      </c>
      <c r="F44">
        <f t="shared" si="0"/>
        <v>35361</v>
      </c>
    </row>
    <row r="45" spans="1:6" x14ac:dyDescent="0.2">
      <c r="A45">
        <v>2010</v>
      </c>
      <c r="B45">
        <v>44837</v>
      </c>
      <c r="C45">
        <v>910</v>
      </c>
      <c r="E45">
        <v>1020</v>
      </c>
      <c r="F45">
        <f t="shared" si="0"/>
        <v>45747</v>
      </c>
    </row>
    <row r="46" spans="1:6" x14ac:dyDescent="0.2">
      <c r="A46">
        <v>2011</v>
      </c>
      <c r="B46">
        <v>65090</v>
      </c>
      <c r="C46">
        <v>5604</v>
      </c>
      <c r="E46">
        <v>1111</v>
      </c>
      <c r="F46">
        <f t="shared" si="0"/>
        <v>70694</v>
      </c>
    </row>
    <row r="47" spans="1:6" x14ac:dyDescent="0.2">
      <c r="A47">
        <v>2012</v>
      </c>
      <c r="B47">
        <v>45410</v>
      </c>
      <c r="C47">
        <v>4039</v>
      </c>
      <c r="E47">
        <v>1287</v>
      </c>
      <c r="F47">
        <f t="shared" si="0"/>
        <v>49449</v>
      </c>
    </row>
    <row r="48" spans="1:6" x14ac:dyDescent="0.2">
      <c r="A48">
        <v>2013</v>
      </c>
      <c r="B48">
        <v>84567</v>
      </c>
      <c r="C48">
        <v>12779</v>
      </c>
      <c r="D48">
        <v>4429</v>
      </c>
      <c r="E48">
        <v>1371</v>
      </c>
      <c r="F48">
        <f t="shared" si="0"/>
        <v>97346</v>
      </c>
    </row>
    <row r="49" spans="1:6" x14ac:dyDescent="0.2">
      <c r="A49">
        <v>2014</v>
      </c>
      <c r="B49">
        <v>30672</v>
      </c>
      <c r="C49">
        <v>859</v>
      </c>
      <c r="D49">
        <v>1440</v>
      </c>
      <c r="E49">
        <v>1133</v>
      </c>
      <c r="F49">
        <f t="shared" si="0"/>
        <v>31531</v>
      </c>
    </row>
    <row r="50" spans="1:6" x14ac:dyDescent="0.2">
      <c r="A50">
        <v>2015</v>
      </c>
      <c r="B50">
        <v>40904</v>
      </c>
      <c r="C50">
        <v>194</v>
      </c>
      <c r="D50">
        <v>912</v>
      </c>
      <c r="E50">
        <v>955</v>
      </c>
      <c r="F50">
        <f t="shared" si="0"/>
        <v>41098</v>
      </c>
    </row>
    <row r="51" spans="1:6" x14ac:dyDescent="0.2">
      <c r="A51">
        <v>2016</v>
      </c>
      <c r="B51">
        <v>6680</v>
      </c>
      <c r="C51">
        <v>6710</v>
      </c>
      <c r="D51">
        <v>2684</v>
      </c>
      <c r="E51">
        <v>1184</v>
      </c>
      <c r="F51">
        <f t="shared" si="0"/>
        <v>13390</v>
      </c>
    </row>
    <row r="52" spans="1:6" x14ac:dyDescent="0.2">
      <c r="A52">
        <v>2017</v>
      </c>
      <c r="B52">
        <v>67706</v>
      </c>
      <c r="C52">
        <v>6042</v>
      </c>
      <c r="D52">
        <v>2689</v>
      </c>
      <c r="E52">
        <v>856</v>
      </c>
      <c r="F52">
        <f t="shared" si="0"/>
        <v>73748</v>
      </c>
    </row>
    <row r="53" spans="1:6" x14ac:dyDescent="0.2">
      <c r="A53">
        <v>2018</v>
      </c>
      <c r="B53">
        <v>24472</v>
      </c>
      <c r="C53">
        <v>1431</v>
      </c>
      <c r="D53">
        <v>2300</v>
      </c>
      <c r="E53">
        <v>1612</v>
      </c>
      <c r="F53">
        <f t="shared" si="0"/>
        <v>25903</v>
      </c>
    </row>
    <row r="54" spans="1:6" x14ac:dyDescent="0.2">
      <c r="A54">
        <v>2019</v>
      </c>
      <c r="B54">
        <v>65281</v>
      </c>
      <c r="C54">
        <v>1237</v>
      </c>
      <c r="D54">
        <v>0</v>
      </c>
      <c r="E54">
        <v>1708</v>
      </c>
      <c r="F54">
        <f t="shared" si="0"/>
        <v>66518</v>
      </c>
    </row>
    <row r="55" spans="1:6" x14ac:dyDescent="0.2">
      <c r="A55">
        <v>2020</v>
      </c>
      <c r="B55">
        <v>8099</v>
      </c>
      <c r="C55">
        <v>242</v>
      </c>
      <c r="D55">
        <v>0</v>
      </c>
      <c r="E55">
        <v>1131</v>
      </c>
      <c r="F55">
        <f t="shared" si="0"/>
        <v>8341</v>
      </c>
    </row>
    <row r="56" spans="1:6" x14ac:dyDescent="0.2">
      <c r="A56">
        <v>2021</v>
      </c>
      <c r="B56">
        <v>35366</v>
      </c>
      <c r="C56">
        <v>2491</v>
      </c>
      <c r="D56">
        <v>0</v>
      </c>
      <c r="E56">
        <v>922</v>
      </c>
      <c r="F56">
        <f t="shared" si="0"/>
        <v>37857</v>
      </c>
    </row>
    <row r="57" spans="1:6" x14ac:dyDescent="0.2">
      <c r="A57">
        <v>2022</v>
      </c>
      <c r="B57">
        <v>77092</v>
      </c>
      <c r="C57">
        <v>11865</v>
      </c>
      <c r="D57">
        <v>1507</v>
      </c>
      <c r="E57">
        <v>1205</v>
      </c>
      <c r="F57">
        <f t="shared" si="0"/>
        <v>88957</v>
      </c>
    </row>
    <row r="58" spans="1:6" x14ac:dyDescent="0.2">
      <c r="A58">
        <v>2023</v>
      </c>
      <c r="B58">
        <v>46881</v>
      </c>
      <c r="C58">
        <v>3446</v>
      </c>
      <c r="D58">
        <v>1397</v>
      </c>
      <c r="E58">
        <v>1341</v>
      </c>
      <c r="F58">
        <f t="shared" si="0"/>
        <v>50327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341AB-24E3-4F1E-8BCB-3C4076F1CC24}">
  <dimension ref="A1:I41"/>
  <sheetViews>
    <sheetView workbookViewId="0">
      <selection activeCell="J18" sqref="J18"/>
    </sheetView>
  </sheetViews>
  <sheetFormatPr baseColWidth="10" defaultColWidth="8.83203125" defaultRowHeight="15" x14ac:dyDescent="0.2"/>
  <cols>
    <col min="2" max="2" width="20.6640625" customWidth="1"/>
    <col min="3" max="3" width="11.6640625" customWidth="1"/>
    <col min="4" max="4" width="11.83203125" customWidth="1"/>
    <col min="5" max="5" width="14.83203125" customWidth="1"/>
    <col min="6" max="6" width="15.33203125" customWidth="1"/>
    <col min="7" max="7" width="17.83203125" customWidth="1"/>
    <col min="8" max="8" width="19.33203125" customWidth="1"/>
    <col min="9" max="9" width="15.83203125" customWidth="1"/>
  </cols>
  <sheetData>
    <row r="1" spans="1:9" x14ac:dyDescent="0.2">
      <c r="A1" s="7" t="s">
        <v>0</v>
      </c>
      <c r="B1" s="7" t="s">
        <v>38</v>
      </c>
      <c r="C1" s="7" t="s">
        <v>32</v>
      </c>
      <c r="D1" s="7" t="s">
        <v>33</v>
      </c>
      <c r="E1" s="7" t="s">
        <v>34</v>
      </c>
      <c r="F1" s="7" t="s">
        <v>1</v>
      </c>
      <c r="G1" s="7" t="s">
        <v>36</v>
      </c>
      <c r="H1" s="7" t="s">
        <v>37</v>
      </c>
      <c r="I1" s="7" t="s">
        <v>49</v>
      </c>
    </row>
    <row r="2" spans="1:9" x14ac:dyDescent="0.2">
      <c r="A2" s="7">
        <v>1984</v>
      </c>
      <c r="B2" s="7">
        <v>88272</v>
      </c>
      <c r="C2" s="7">
        <v>70894</v>
      </c>
      <c r="D2" s="7">
        <v>105650</v>
      </c>
      <c r="E2" s="7">
        <v>27292</v>
      </c>
      <c r="F2" s="7">
        <v>60980</v>
      </c>
      <c r="G2" s="7">
        <v>57619</v>
      </c>
      <c r="H2" s="7">
        <v>145891</v>
      </c>
      <c r="I2" s="7">
        <v>0.57999999999999996</v>
      </c>
    </row>
    <row r="3" spans="1:9" x14ac:dyDescent="0.2">
      <c r="A3" s="7">
        <v>1985</v>
      </c>
      <c r="B3" s="7">
        <v>84479</v>
      </c>
      <c r="C3" s="7">
        <v>67333</v>
      </c>
      <c r="D3" s="7">
        <v>101625</v>
      </c>
      <c r="E3" s="7">
        <v>14411</v>
      </c>
      <c r="F3" s="7">
        <v>70068</v>
      </c>
      <c r="G3" s="7">
        <v>74287</v>
      </c>
      <c r="H3" s="7">
        <v>158766</v>
      </c>
      <c r="I3" s="7">
        <v>0.56000000000000005</v>
      </c>
    </row>
    <row r="4" spans="1:9" x14ac:dyDescent="0.2">
      <c r="A4" s="7">
        <v>1986</v>
      </c>
      <c r="B4" s="7"/>
      <c r="C4" s="7"/>
      <c r="D4" s="7"/>
      <c r="E4" s="7">
        <v>14939</v>
      </c>
      <c r="F4" s="7"/>
      <c r="G4" s="7">
        <v>60644</v>
      </c>
      <c r="H4" s="7"/>
      <c r="I4" s="7"/>
    </row>
    <row r="5" spans="1:9" x14ac:dyDescent="0.2">
      <c r="A5" s="7">
        <v>1987</v>
      </c>
      <c r="B5" s="7">
        <v>56362</v>
      </c>
      <c r="C5" s="7">
        <v>45590</v>
      </c>
      <c r="D5" s="7">
        <v>67134</v>
      </c>
      <c r="E5" s="7">
        <v>13887</v>
      </c>
      <c r="F5" s="7">
        <v>42475</v>
      </c>
      <c r="G5" s="7">
        <v>54963</v>
      </c>
      <c r="H5" s="7">
        <v>111325</v>
      </c>
      <c r="I5" s="7">
        <v>0.62</v>
      </c>
    </row>
    <row r="6" spans="1:9" x14ac:dyDescent="0.2">
      <c r="A6" s="7">
        <v>1988</v>
      </c>
      <c r="B6" s="7">
        <v>55580</v>
      </c>
      <c r="C6" s="7">
        <v>44648</v>
      </c>
      <c r="D6" s="7">
        <v>66512</v>
      </c>
      <c r="E6" s="7">
        <v>12967</v>
      </c>
      <c r="F6" s="7">
        <v>42613</v>
      </c>
      <c r="G6" s="7">
        <v>25785</v>
      </c>
      <c r="H6" s="7">
        <v>81365</v>
      </c>
      <c r="I6" s="7">
        <v>0.48</v>
      </c>
    </row>
    <row r="7" spans="1:9" x14ac:dyDescent="0.2">
      <c r="A7" s="7">
        <v>1989</v>
      </c>
      <c r="B7" s="7">
        <v>80997</v>
      </c>
      <c r="C7" s="7">
        <v>65787</v>
      </c>
      <c r="D7" s="7">
        <v>96207</v>
      </c>
      <c r="E7" s="7">
        <v>18805</v>
      </c>
      <c r="F7" s="7">
        <v>62192</v>
      </c>
      <c r="G7" s="7">
        <v>63366</v>
      </c>
      <c r="H7" s="7">
        <v>144363</v>
      </c>
      <c r="I7" s="7">
        <v>0.56999999999999995</v>
      </c>
    </row>
    <row r="8" spans="1:9" x14ac:dyDescent="0.2">
      <c r="A8" s="7">
        <v>1990</v>
      </c>
      <c r="B8" s="7">
        <v>75801</v>
      </c>
      <c r="C8" s="7">
        <v>61839</v>
      </c>
      <c r="D8" s="7">
        <v>89763</v>
      </c>
      <c r="E8" s="7">
        <v>21474</v>
      </c>
      <c r="F8" s="7">
        <v>54327</v>
      </c>
      <c r="G8" s="7">
        <v>109285</v>
      </c>
      <c r="H8" s="7">
        <v>185086</v>
      </c>
      <c r="I8" s="7">
        <v>0.71</v>
      </c>
    </row>
    <row r="9" spans="1:9" x14ac:dyDescent="0.2">
      <c r="A9" s="7">
        <v>1991</v>
      </c>
      <c r="B9" s="7">
        <v>104895</v>
      </c>
      <c r="C9" s="7">
        <v>85097</v>
      </c>
      <c r="D9" s="7">
        <v>124693</v>
      </c>
      <c r="E9" s="7">
        <v>25380</v>
      </c>
      <c r="F9" s="7">
        <v>79515</v>
      </c>
      <c r="G9" s="7">
        <v>105271</v>
      </c>
      <c r="H9" s="7">
        <v>210166</v>
      </c>
      <c r="I9" s="7">
        <v>0.62</v>
      </c>
    </row>
    <row r="10" spans="1:9" x14ac:dyDescent="0.2">
      <c r="A10" s="7">
        <v>1992</v>
      </c>
      <c r="B10" s="7">
        <v>99643</v>
      </c>
      <c r="C10" s="7">
        <v>81401</v>
      </c>
      <c r="D10" s="7">
        <v>117885</v>
      </c>
      <c r="E10" s="7">
        <v>29862</v>
      </c>
      <c r="F10" s="7">
        <v>69781</v>
      </c>
      <c r="G10" s="7">
        <v>121176</v>
      </c>
      <c r="H10" s="7">
        <v>220819</v>
      </c>
      <c r="I10" s="7">
        <v>0.68</v>
      </c>
    </row>
    <row r="11" spans="1:9" x14ac:dyDescent="0.2">
      <c r="A11" s="7">
        <v>1993</v>
      </c>
      <c r="B11" s="7">
        <v>92933</v>
      </c>
      <c r="C11" s="7">
        <v>76231</v>
      </c>
      <c r="D11" s="7">
        <v>109635</v>
      </c>
      <c r="E11" s="7">
        <v>33523</v>
      </c>
      <c r="F11" s="7">
        <v>59410</v>
      </c>
      <c r="G11" s="7">
        <v>142089</v>
      </c>
      <c r="H11" s="7">
        <v>235022</v>
      </c>
      <c r="I11" s="7">
        <v>0.75</v>
      </c>
    </row>
    <row r="12" spans="1:9" x14ac:dyDescent="0.2">
      <c r="A12" s="7">
        <v>1994</v>
      </c>
      <c r="B12" s="7">
        <v>90128</v>
      </c>
      <c r="C12" s="7">
        <v>73666</v>
      </c>
      <c r="D12" s="7">
        <v>106590</v>
      </c>
      <c r="E12" s="7">
        <v>29001</v>
      </c>
      <c r="F12" s="7">
        <v>61127</v>
      </c>
      <c r="G12" s="7">
        <v>98063</v>
      </c>
      <c r="H12" s="7">
        <v>188191</v>
      </c>
      <c r="I12" s="7">
        <v>0.68</v>
      </c>
    </row>
    <row r="13" spans="1:9" x14ac:dyDescent="0.2">
      <c r="A13" s="7">
        <v>1995</v>
      </c>
      <c r="B13" s="7">
        <v>104242</v>
      </c>
      <c r="C13" s="7">
        <v>85180</v>
      </c>
      <c r="D13" s="7">
        <v>123304</v>
      </c>
      <c r="E13" s="7">
        <v>32711</v>
      </c>
      <c r="F13" s="7">
        <v>71531</v>
      </c>
      <c r="G13" s="7">
        <v>91984</v>
      </c>
      <c r="H13" s="7">
        <v>196226</v>
      </c>
      <c r="I13" s="7">
        <v>0.64</v>
      </c>
    </row>
    <row r="14" spans="1:9" x14ac:dyDescent="0.2">
      <c r="A14" s="7">
        <v>1996</v>
      </c>
      <c r="B14" s="7">
        <v>97477</v>
      </c>
      <c r="C14" s="7">
        <v>79901</v>
      </c>
      <c r="D14" s="7">
        <v>115053</v>
      </c>
      <c r="E14" s="7">
        <v>42025</v>
      </c>
      <c r="F14" s="7">
        <v>55452</v>
      </c>
      <c r="G14" s="7">
        <v>187727</v>
      </c>
      <c r="H14" s="7">
        <v>285204</v>
      </c>
      <c r="I14" s="7">
        <v>0.81</v>
      </c>
    </row>
    <row r="15" spans="1:9" x14ac:dyDescent="0.2">
      <c r="A15" s="7">
        <v>1997</v>
      </c>
      <c r="B15" s="7">
        <v>73255</v>
      </c>
      <c r="C15" s="7">
        <v>59861</v>
      </c>
      <c r="D15" s="7">
        <v>86649</v>
      </c>
      <c r="E15" s="7">
        <v>24352</v>
      </c>
      <c r="F15" s="7">
        <v>48903</v>
      </c>
      <c r="G15" s="7">
        <v>79127</v>
      </c>
      <c r="H15" s="7">
        <v>152382</v>
      </c>
      <c r="I15" s="7">
        <v>0.68</v>
      </c>
    </row>
    <row r="16" spans="1:9" x14ac:dyDescent="0.2">
      <c r="A16" s="7">
        <v>1998</v>
      </c>
      <c r="B16" s="7">
        <v>64755</v>
      </c>
      <c r="C16" s="7">
        <v>52617</v>
      </c>
      <c r="D16" s="7">
        <v>76893</v>
      </c>
      <c r="E16" s="7">
        <v>19277</v>
      </c>
      <c r="F16" s="7">
        <v>45478</v>
      </c>
      <c r="G16" s="7">
        <v>49832</v>
      </c>
      <c r="H16" s="7">
        <v>114587</v>
      </c>
      <c r="I16" s="7">
        <v>0.6</v>
      </c>
    </row>
    <row r="17" spans="1:9" x14ac:dyDescent="0.2">
      <c r="A17" s="7">
        <v>1999</v>
      </c>
      <c r="B17" s="7">
        <v>83588</v>
      </c>
      <c r="C17" s="7">
        <v>67816</v>
      </c>
      <c r="D17" s="7">
        <v>99360</v>
      </c>
      <c r="E17" s="7">
        <v>21151</v>
      </c>
      <c r="F17" s="7">
        <v>62437</v>
      </c>
      <c r="G17" s="7">
        <v>63058</v>
      </c>
      <c r="H17" s="7">
        <v>146646</v>
      </c>
      <c r="I17" s="7">
        <v>0.56999999999999995</v>
      </c>
    </row>
    <row r="18" spans="1:9" x14ac:dyDescent="0.2">
      <c r="A18" s="7">
        <v>2000</v>
      </c>
      <c r="B18" s="7">
        <v>83190</v>
      </c>
      <c r="C18" s="7">
        <v>68024</v>
      </c>
      <c r="D18" s="7">
        <v>98356</v>
      </c>
      <c r="E18" s="7">
        <v>28468</v>
      </c>
      <c r="F18" s="7">
        <v>54722</v>
      </c>
      <c r="G18" s="7">
        <v>131262</v>
      </c>
      <c r="H18" s="7">
        <v>214452</v>
      </c>
      <c r="I18" s="7">
        <v>0.74</v>
      </c>
    </row>
    <row r="19" spans="1:9" x14ac:dyDescent="0.2">
      <c r="A19" s="7">
        <v>2001</v>
      </c>
      <c r="B19" s="7">
        <v>132502</v>
      </c>
      <c r="C19" s="7">
        <v>108404</v>
      </c>
      <c r="D19" s="7">
        <v>156600</v>
      </c>
      <c r="E19" s="7">
        <v>48117</v>
      </c>
      <c r="F19" s="7">
        <v>84385</v>
      </c>
      <c r="G19" s="7">
        <v>204433</v>
      </c>
      <c r="H19" s="7">
        <v>336935</v>
      </c>
      <c r="I19" s="7">
        <v>0.75</v>
      </c>
    </row>
    <row r="20" spans="1:9" x14ac:dyDescent="0.2">
      <c r="A20" s="7">
        <v>2002</v>
      </c>
      <c r="B20" s="7">
        <v>94605</v>
      </c>
      <c r="C20" s="7">
        <v>77331</v>
      </c>
      <c r="D20" s="7">
        <v>111879</v>
      </c>
      <c r="E20" s="7">
        <v>31726</v>
      </c>
      <c r="F20" s="7">
        <v>62879</v>
      </c>
      <c r="G20" s="7">
        <v>116400</v>
      </c>
      <c r="H20" s="7">
        <v>211005</v>
      </c>
      <c r="I20" s="7">
        <v>0.7</v>
      </c>
    </row>
    <row r="21" spans="1:9" x14ac:dyDescent="0.2">
      <c r="A21" s="7">
        <v>2003</v>
      </c>
      <c r="B21" s="7">
        <v>133593</v>
      </c>
      <c r="C21" s="7">
        <v>108917</v>
      </c>
      <c r="D21" s="7">
        <v>158269</v>
      </c>
      <c r="E21" s="7">
        <v>33024</v>
      </c>
      <c r="F21" s="7">
        <v>100569</v>
      </c>
      <c r="G21" s="7">
        <v>136942</v>
      </c>
      <c r="H21" s="7">
        <v>270535</v>
      </c>
      <c r="I21" s="7">
        <v>0.63</v>
      </c>
    </row>
    <row r="22" spans="1:9" x14ac:dyDescent="0.2">
      <c r="A22" s="7">
        <v>2004</v>
      </c>
      <c r="B22" s="7">
        <v>85257</v>
      </c>
      <c r="C22" s="7">
        <v>69601</v>
      </c>
      <c r="D22" s="7">
        <v>100913</v>
      </c>
      <c r="E22" s="7">
        <v>20359</v>
      </c>
      <c r="F22" s="7">
        <v>64898</v>
      </c>
      <c r="G22" s="7">
        <v>77012</v>
      </c>
      <c r="H22" s="7">
        <v>162269</v>
      </c>
      <c r="I22" s="7">
        <v>0.6</v>
      </c>
    </row>
    <row r="23" spans="1:9" x14ac:dyDescent="0.2">
      <c r="A23" s="7">
        <v>2005</v>
      </c>
      <c r="B23" s="7">
        <v>87496</v>
      </c>
      <c r="C23" s="7">
        <v>70454</v>
      </c>
      <c r="D23" s="7">
        <v>104538</v>
      </c>
      <c r="E23" s="7">
        <v>22102</v>
      </c>
      <c r="F23" s="7">
        <v>65394</v>
      </c>
      <c r="G23" s="7">
        <v>46089</v>
      </c>
      <c r="H23" s="7">
        <v>133585</v>
      </c>
      <c r="I23" s="7">
        <v>0.51</v>
      </c>
    </row>
    <row r="24" spans="1:9" x14ac:dyDescent="0.2">
      <c r="A24" s="7">
        <v>2006</v>
      </c>
      <c r="B24" s="7">
        <v>106545</v>
      </c>
      <c r="C24" s="7">
        <v>86195</v>
      </c>
      <c r="D24" s="7">
        <v>126895</v>
      </c>
      <c r="E24" s="7">
        <v>21446</v>
      </c>
      <c r="F24" s="7">
        <v>85099</v>
      </c>
      <c r="G24" s="7">
        <v>65828</v>
      </c>
      <c r="H24" s="7">
        <v>172373</v>
      </c>
      <c r="I24" s="7">
        <v>0.51</v>
      </c>
    </row>
    <row r="25" spans="1:9" x14ac:dyDescent="0.2">
      <c r="A25" s="7">
        <v>2007</v>
      </c>
      <c r="B25" s="7">
        <v>60320</v>
      </c>
      <c r="C25" s="7">
        <v>49616</v>
      </c>
      <c r="D25" s="7">
        <v>71024</v>
      </c>
      <c r="E25" s="7">
        <v>17249</v>
      </c>
      <c r="F25" s="7">
        <v>43071</v>
      </c>
      <c r="G25" s="7">
        <v>65129</v>
      </c>
      <c r="H25" s="7">
        <v>125449</v>
      </c>
      <c r="I25" s="7">
        <v>0.66</v>
      </c>
    </row>
    <row r="26" spans="1:9" x14ac:dyDescent="0.2">
      <c r="A26" s="7">
        <v>2008</v>
      </c>
      <c r="B26" s="7">
        <v>78031</v>
      </c>
      <c r="C26" s="7">
        <v>62737</v>
      </c>
      <c r="D26" s="7">
        <v>93325</v>
      </c>
      <c r="E26" s="7">
        <v>19509</v>
      </c>
      <c r="F26" s="7">
        <v>58522</v>
      </c>
      <c r="G26" s="7">
        <v>75692</v>
      </c>
      <c r="H26" s="7">
        <v>153723</v>
      </c>
      <c r="I26" s="7">
        <v>0.62</v>
      </c>
    </row>
    <row r="27" spans="1:9" x14ac:dyDescent="0.2">
      <c r="A27" s="7">
        <v>2009</v>
      </c>
      <c r="B27" s="7">
        <v>59817</v>
      </c>
      <c r="C27" s="7">
        <v>47343</v>
      </c>
      <c r="D27" s="7">
        <v>72291</v>
      </c>
      <c r="E27" s="7">
        <v>11260</v>
      </c>
      <c r="F27" s="7">
        <v>48557</v>
      </c>
      <c r="G27" s="7">
        <v>36232</v>
      </c>
      <c r="H27" s="7">
        <v>96049</v>
      </c>
      <c r="I27" s="7">
        <v>0.49</v>
      </c>
    </row>
    <row r="28" spans="1:9" x14ac:dyDescent="0.2">
      <c r="A28" s="7">
        <v>2010</v>
      </c>
      <c r="B28" s="7">
        <v>80747</v>
      </c>
      <c r="C28" s="7">
        <v>64679</v>
      </c>
      <c r="D28" s="7">
        <v>96815</v>
      </c>
      <c r="E28" s="7">
        <v>20661</v>
      </c>
      <c r="F28" s="7">
        <v>60086</v>
      </c>
      <c r="G28" s="7">
        <v>46767</v>
      </c>
      <c r="H28" s="7">
        <v>127514</v>
      </c>
      <c r="I28" s="7">
        <v>0.53</v>
      </c>
    </row>
    <row r="29" spans="1:9" x14ac:dyDescent="0.2">
      <c r="A29" s="7">
        <v>2011</v>
      </c>
      <c r="B29" s="7">
        <v>82116</v>
      </c>
      <c r="C29" s="7">
        <v>66634</v>
      </c>
      <c r="D29" s="7">
        <v>97598</v>
      </c>
      <c r="E29" s="7">
        <v>24543</v>
      </c>
      <c r="F29" s="7">
        <v>57573</v>
      </c>
      <c r="G29" s="7">
        <v>71805</v>
      </c>
      <c r="H29" s="7">
        <v>153921</v>
      </c>
      <c r="I29" s="7">
        <v>0.63</v>
      </c>
    </row>
    <row r="30" spans="1:9" x14ac:dyDescent="0.2">
      <c r="A30" s="7">
        <v>2012</v>
      </c>
      <c r="B30" s="7">
        <v>102670</v>
      </c>
      <c r="C30" s="7">
        <v>83602</v>
      </c>
      <c r="D30" s="7">
        <v>121738</v>
      </c>
      <c r="E30" s="7">
        <v>30113</v>
      </c>
      <c r="F30" s="7">
        <v>72557</v>
      </c>
      <c r="G30" s="7">
        <v>50736</v>
      </c>
      <c r="H30" s="7">
        <v>153406</v>
      </c>
      <c r="I30" s="7">
        <v>0.53</v>
      </c>
    </row>
    <row r="31" spans="1:9" x14ac:dyDescent="0.2">
      <c r="A31" s="7">
        <v>2013</v>
      </c>
      <c r="B31" s="7">
        <v>88535</v>
      </c>
      <c r="C31" s="7">
        <v>71523</v>
      </c>
      <c r="D31" s="7">
        <v>105547</v>
      </c>
      <c r="E31" s="7">
        <v>25173</v>
      </c>
      <c r="F31" s="7">
        <v>63362</v>
      </c>
      <c r="G31" s="7">
        <v>100144</v>
      </c>
      <c r="H31" s="7">
        <v>188679</v>
      </c>
      <c r="I31" s="7">
        <v>0.66</v>
      </c>
    </row>
    <row r="32" spans="1:9" x14ac:dyDescent="0.2">
      <c r="A32" s="7">
        <v>2014</v>
      </c>
      <c r="B32" s="7">
        <v>68532</v>
      </c>
      <c r="C32" s="7">
        <v>55818</v>
      </c>
      <c r="D32" s="7">
        <v>81246</v>
      </c>
      <c r="E32" s="7">
        <v>17795</v>
      </c>
      <c r="F32" s="7">
        <v>50737</v>
      </c>
      <c r="G32" s="7">
        <v>33226</v>
      </c>
      <c r="H32" s="7">
        <v>101758</v>
      </c>
      <c r="I32" s="7">
        <v>0.5</v>
      </c>
    </row>
    <row r="33" spans="1:9" x14ac:dyDescent="0.2">
      <c r="A33" s="7">
        <v>2015</v>
      </c>
      <c r="B33" s="7">
        <v>102506</v>
      </c>
      <c r="C33" s="7">
        <v>81982</v>
      </c>
      <c r="D33" s="7">
        <v>123030</v>
      </c>
      <c r="E33" s="7">
        <v>19849</v>
      </c>
      <c r="F33" s="7">
        <v>82657</v>
      </c>
      <c r="G33" s="7">
        <v>42054</v>
      </c>
      <c r="H33" s="7">
        <v>144560</v>
      </c>
      <c r="I33" s="7">
        <v>0.43</v>
      </c>
    </row>
    <row r="34" spans="1:9" x14ac:dyDescent="0.2">
      <c r="A34" s="7">
        <v>2016</v>
      </c>
      <c r="B34" s="7">
        <v>146294</v>
      </c>
      <c r="C34" s="7">
        <v>119726</v>
      </c>
      <c r="D34" s="7">
        <v>172862</v>
      </c>
      <c r="E34" s="7">
        <v>37434</v>
      </c>
      <c r="F34" s="7">
        <v>108860</v>
      </c>
      <c r="G34" s="7">
        <v>74874</v>
      </c>
      <c r="H34" s="7">
        <v>221168</v>
      </c>
      <c r="I34" s="7">
        <v>0.51</v>
      </c>
    </row>
    <row r="35" spans="1:9" x14ac:dyDescent="0.2">
      <c r="A35" s="7">
        <v>2017</v>
      </c>
      <c r="B35" s="7">
        <v>91164</v>
      </c>
      <c r="C35" s="7">
        <v>81104</v>
      </c>
      <c r="D35" s="7">
        <v>101224</v>
      </c>
      <c r="E35" s="7">
        <v>30379</v>
      </c>
      <c r="F35" s="7">
        <v>60785</v>
      </c>
      <c r="G35" s="7">
        <v>74604</v>
      </c>
      <c r="H35" s="7">
        <v>165768</v>
      </c>
      <c r="I35" s="7">
        <v>0.63</v>
      </c>
    </row>
    <row r="36" spans="1:9" x14ac:dyDescent="0.2">
      <c r="A36" s="7">
        <v>2018</v>
      </c>
      <c r="B36" s="7">
        <v>84806</v>
      </c>
      <c r="C36" s="7">
        <v>74394</v>
      </c>
      <c r="D36" s="7">
        <v>95218</v>
      </c>
      <c r="E36" s="7">
        <v>17962</v>
      </c>
      <c r="F36" s="7">
        <v>66844</v>
      </c>
      <c r="G36" s="7">
        <v>27514</v>
      </c>
      <c r="H36" s="7">
        <v>112320</v>
      </c>
      <c r="I36" s="7">
        <v>0.4</v>
      </c>
    </row>
    <row r="37" spans="1:9" x14ac:dyDescent="0.2">
      <c r="A37" s="7">
        <v>2019</v>
      </c>
      <c r="B37" s="7">
        <v>103152</v>
      </c>
      <c r="C37" s="7">
        <v>94587</v>
      </c>
      <c r="D37" s="7">
        <v>111717</v>
      </c>
      <c r="E37" s="7">
        <v>21481</v>
      </c>
      <c r="F37" s="7">
        <v>81671</v>
      </c>
      <c r="G37" s="7">
        <v>68226</v>
      </c>
      <c r="H37" s="7">
        <v>171378</v>
      </c>
      <c r="I37" s="7">
        <v>0.54</v>
      </c>
    </row>
    <row r="38" spans="1:9" x14ac:dyDescent="0.2">
      <c r="A38" s="7">
        <v>2020</v>
      </c>
      <c r="B38" s="7">
        <v>112677</v>
      </c>
      <c r="C38" s="7">
        <v>92650</v>
      </c>
      <c r="D38" s="7">
        <v>132704</v>
      </c>
      <c r="E38" s="7">
        <v>11780</v>
      </c>
      <c r="F38" s="7">
        <v>100897</v>
      </c>
      <c r="G38" s="7">
        <v>9472</v>
      </c>
      <c r="H38" s="7">
        <v>122149</v>
      </c>
      <c r="I38" s="7">
        <v>0.19</v>
      </c>
    </row>
    <row r="39" spans="1:9" x14ac:dyDescent="0.2">
      <c r="A39" s="7">
        <v>2021</v>
      </c>
      <c r="B39" s="7">
        <v>182115</v>
      </c>
      <c r="C39" s="7">
        <v>138892</v>
      </c>
      <c r="D39" s="7">
        <v>225338</v>
      </c>
      <c r="E39" s="7">
        <v>18485</v>
      </c>
      <c r="F39" s="7">
        <v>163630</v>
      </c>
      <c r="G39" s="7">
        <v>38784</v>
      </c>
      <c r="H39" s="7">
        <v>220899</v>
      </c>
      <c r="I39" s="7">
        <v>0.27</v>
      </c>
    </row>
    <row r="40" spans="1:9" x14ac:dyDescent="0.2">
      <c r="A40" s="7">
        <v>2022</v>
      </c>
      <c r="B40" s="7">
        <v>121046</v>
      </c>
      <c r="C40" s="7">
        <v>103395</v>
      </c>
      <c r="D40" s="7">
        <v>138697</v>
      </c>
      <c r="E40" s="7">
        <v>27605</v>
      </c>
      <c r="F40" s="7">
        <v>93441</v>
      </c>
      <c r="G40" s="7">
        <v>90458</v>
      </c>
      <c r="H40" s="7">
        <v>211504</v>
      </c>
      <c r="I40" s="7">
        <v>0.56999999999999995</v>
      </c>
    </row>
    <row r="41" spans="1:9" x14ac:dyDescent="0.2">
      <c r="A41" s="6">
        <v>2023</v>
      </c>
      <c r="B41" s="6"/>
      <c r="C41" s="6"/>
      <c r="D41" s="6"/>
      <c r="E41" s="6"/>
      <c r="F41" s="6"/>
      <c r="G41" s="6"/>
      <c r="H41" s="6"/>
      <c r="I41" s="6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AAC1C-3D33-43C1-9C0F-E926AA8F992C}">
  <dimension ref="A1:K42"/>
  <sheetViews>
    <sheetView topLeftCell="A22" workbookViewId="0">
      <selection activeCell="D18" sqref="D18"/>
    </sheetView>
  </sheetViews>
  <sheetFormatPr baseColWidth="10" defaultColWidth="8.83203125" defaultRowHeight="15" x14ac:dyDescent="0.2"/>
  <sheetData>
    <row r="1" spans="1:11" x14ac:dyDescent="0.2">
      <c r="A1" t="s">
        <v>0</v>
      </c>
      <c r="B1">
        <v>25</v>
      </c>
      <c r="C1">
        <v>26</v>
      </c>
      <c r="D1">
        <v>27</v>
      </c>
      <c r="E1">
        <v>28</v>
      </c>
      <c r="F1">
        <v>29</v>
      </c>
      <c r="G1">
        <v>30</v>
      </c>
      <c r="H1">
        <v>31</v>
      </c>
      <c r="I1">
        <v>32</v>
      </c>
      <c r="J1">
        <v>33</v>
      </c>
      <c r="K1">
        <v>34</v>
      </c>
    </row>
    <row r="2" spans="1:11" x14ac:dyDescent="0.2">
      <c r="A2">
        <v>1983</v>
      </c>
      <c r="C2">
        <v>0.996</v>
      </c>
      <c r="D2">
        <v>0.84199999999999997</v>
      </c>
      <c r="E2">
        <v>0.81899999999999995</v>
      </c>
      <c r="F2">
        <v>0.66300000000000003</v>
      </c>
      <c r="G2">
        <v>0.52700000000000002</v>
      </c>
      <c r="H2">
        <v>0.83599999999999997</v>
      </c>
      <c r="I2">
        <v>0.53400000000000003</v>
      </c>
      <c r="J2">
        <v>0.71899999999999997</v>
      </c>
      <c r="K2">
        <v>0.75900000000000001</v>
      </c>
    </row>
    <row r="3" spans="1:11" x14ac:dyDescent="0.2">
      <c r="A3">
        <v>1984</v>
      </c>
      <c r="B3">
        <v>0.97</v>
      </c>
      <c r="C3">
        <v>0.95599999999999996</v>
      </c>
      <c r="D3">
        <v>0.84299999999999997</v>
      </c>
      <c r="E3">
        <v>0.67</v>
      </c>
      <c r="F3">
        <v>0.58799999999999997</v>
      </c>
      <c r="G3">
        <v>0.71199999999999997</v>
      </c>
      <c r="H3">
        <v>0.72799999999999998</v>
      </c>
      <c r="I3">
        <v>0.80900000000000005</v>
      </c>
      <c r="J3">
        <v>0.72599999999999998</v>
      </c>
    </row>
    <row r="4" spans="1:11" x14ac:dyDescent="0.2">
      <c r="A4">
        <v>1985</v>
      </c>
      <c r="B4">
        <v>0.999</v>
      </c>
      <c r="C4">
        <v>0.98599999999999999</v>
      </c>
      <c r="D4">
        <v>0.92800000000000005</v>
      </c>
      <c r="E4">
        <v>0.97399999999999998</v>
      </c>
      <c r="F4">
        <v>0.86799999999999999</v>
      </c>
      <c r="G4">
        <v>0.70599999999999996</v>
      </c>
      <c r="H4">
        <v>0.73699999999999999</v>
      </c>
      <c r="I4">
        <v>0.82599999999999996</v>
      </c>
      <c r="J4">
        <v>0.80100000000000005</v>
      </c>
    </row>
    <row r="5" spans="1:11" x14ac:dyDescent="0.2">
      <c r="A5">
        <v>1986</v>
      </c>
      <c r="B5">
        <v>0.93799999999999994</v>
      </c>
      <c r="C5">
        <v>0.96299999999999997</v>
      </c>
      <c r="D5">
        <v>0.87629999999999997</v>
      </c>
      <c r="E5">
        <v>0.88</v>
      </c>
      <c r="F5">
        <v>0.85199999999999998</v>
      </c>
      <c r="G5">
        <v>0.77700000000000002</v>
      </c>
      <c r="H5">
        <v>0.85099999999999998</v>
      </c>
      <c r="I5">
        <v>0.75700000000000001</v>
      </c>
      <c r="J5">
        <v>0.89300000000000002</v>
      </c>
      <c r="K5">
        <v>0.73899999999999999</v>
      </c>
    </row>
    <row r="6" spans="1:11" x14ac:dyDescent="0.2">
      <c r="A6">
        <v>1987</v>
      </c>
      <c r="C6">
        <v>0.98199999999999998</v>
      </c>
      <c r="D6">
        <v>0.90100000000000002</v>
      </c>
      <c r="E6">
        <v>0.88400000000000001</v>
      </c>
      <c r="F6">
        <v>0.94799999999999995</v>
      </c>
      <c r="G6">
        <v>0.41399999999999998</v>
      </c>
      <c r="H6">
        <v>0.61899999999999999</v>
      </c>
      <c r="I6">
        <v>0.68899999999999995</v>
      </c>
      <c r="J6">
        <v>0.84099999999999997</v>
      </c>
      <c r="K6">
        <v>0.73099999999999998</v>
      </c>
    </row>
    <row r="7" spans="1:11" x14ac:dyDescent="0.2">
      <c r="A7">
        <v>1988</v>
      </c>
      <c r="C7">
        <v>0.96399999999999997</v>
      </c>
      <c r="D7">
        <v>0.88600000000000001</v>
      </c>
      <c r="E7">
        <v>0.88900000000000001</v>
      </c>
      <c r="F7">
        <v>0.51</v>
      </c>
      <c r="G7">
        <v>0.64300000000000002</v>
      </c>
      <c r="H7">
        <v>0.67700000000000005</v>
      </c>
      <c r="I7">
        <v>0.52800000000000002</v>
      </c>
      <c r="J7">
        <v>0.47799999999999998</v>
      </c>
      <c r="K7">
        <v>0.34599999999999997</v>
      </c>
    </row>
    <row r="8" spans="1:11" x14ac:dyDescent="0.2">
      <c r="A8">
        <v>1989</v>
      </c>
      <c r="B8">
        <v>0.94299999999999995</v>
      </c>
      <c r="C8">
        <v>0.98899999999999999</v>
      </c>
      <c r="D8">
        <v>0.97899999999999998</v>
      </c>
      <c r="E8">
        <v>0.85199999999999998</v>
      </c>
      <c r="F8">
        <v>0.83499999999999996</v>
      </c>
      <c r="G8">
        <v>0.64100000000000001</v>
      </c>
      <c r="H8">
        <v>0.68100000000000005</v>
      </c>
      <c r="I8">
        <v>0.91900000000000004</v>
      </c>
      <c r="J8">
        <v>0.67600000000000005</v>
      </c>
    </row>
    <row r="9" spans="1:11" x14ac:dyDescent="0.2">
      <c r="A9">
        <v>1990</v>
      </c>
      <c r="B9">
        <v>0.874</v>
      </c>
      <c r="C9">
        <v>0.93500000000000005</v>
      </c>
      <c r="D9">
        <v>0.90400000000000003</v>
      </c>
      <c r="E9">
        <v>0.77300000000000002</v>
      </c>
      <c r="F9">
        <v>0.78200000000000003</v>
      </c>
      <c r="G9">
        <v>0.86299999999999999</v>
      </c>
      <c r="H9">
        <v>0.94299999999999995</v>
      </c>
      <c r="I9">
        <v>0.93899999999999995</v>
      </c>
      <c r="J9">
        <v>0.878</v>
      </c>
      <c r="K9">
        <v>0.86199999999999999</v>
      </c>
    </row>
    <row r="10" spans="1:11" x14ac:dyDescent="0.2">
      <c r="A10">
        <v>1991</v>
      </c>
      <c r="B10">
        <v>0.98799999999999999</v>
      </c>
      <c r="C10">
        <v>0.97899999999999998</v>
      </c>
      <c r="D10">
        <v>0.95299999999999996</v>
      </c>
      <c r="E10">
        <v>0.97899999999999998</v>
      </c>
      <c r="F10">
        <v>0.95099999999999996</v>
      </c>
      <c r="G10">
        <v>0.93300000000000005</v>
      </c>
      <c r="H10">
        <v>0.93600000000000005</v>
      </c>
      <c r="I10">
        <v>0.89</v>
      </c>
      <c r="J10">
        <v>0.88500000000000001</v>
      </c>
      <c r="K10">
        <v>0.875</v>
      </c>
    </row>
    <row r="11" spans="1:11" x14ac:dyDescent="0.2">
      <c r="A11">
        <v>1992</v>
      </c>
      <c r="C11">
        <v>0.97799999999999998</v>
      </c>
      <c r="D11">
        <v>0.98499999999999999</v>
      </c>
      <c r="E11">
        <v>0.95599999999999996</v>
      </c>
      <c r="F11">
        <v>0.91600000000000004</v>
      </c>
      <c r="G11">
        <v>0.94299999999999995</v>
      </c>
      <c r="H11">
        <v>0.89300000000000002</v>
      </c>
      <c r="I11">
        <v>0.85799999999999998</v>
      </c>
      <c r="J11">
        <v>0.76600000000000001</v>
      </c>
      <c r="K11">
        <v>0.76600000000000001</v>
      </c>
    </row>
    <row r="12" spans="1:11" x14ac:dyDescent="0.2">
      <c r="A12">
        <v>1993</v>
      </c>
      <c r="C12">
        <v>0.96099999999999997</v>
      </c>
      <c r="D12">
        <v>0.90100000000000002</v>
      </c>
      <c r="E12">
        <v>0.83699999999999997</v>
      </c>
      <c r="F12">
        <v>0.85599999999999998</v>
      </c>
      <c r="G12">
        <v>0.78100000000000003</v>
      </c>
      <c r="H12">
        <v>0.79</v>
      </c>
      <c r="I12">
        <v>0.82899999999999996</v>
      </c>
      <c r="J12">
        <v>0.73799999999999999</v>
      </c>
      <c r="K12">
        <v>0.70599999999999996</v>
      </c>
    </row>
    <row r="13" spans="1:11" x14ac:dyDescent="0.2">
      <c r="A13">
        <v>1994</v>
      </c>
      <c r="C13">
        <v>1</v>
      </c>
      <c r="D13">
        <v>0.98099999999999998</v>
      </c>
      <c r="E13">
        <v>0.97299999999999998</v>
      </c>
      <c r="F13">
        <v>0.96699999999999997</v>
      </c>
      <c r="G13">
        <v>0.87</v>
      </c>
      <c r="H13">
        <v>0.83499999999999996</v>
      </c>
      <c r="I13">
        <v>0.93799999999999994</v>
      </c>
      <c r="J13">
        <v>0.80400000000000005</v>
      </c>
      <c r="K13">
        <v>0.90100000000000002</v>
      </c>
    </row>
    <row r="14" spans="1:11" x14ac:dyDescent="0.2">
      <c r="A14">
        <v>1995</v>
      </c>
      <c r="B14">
        <v>0.94199999999999995</v>
      </c>
      <c r="C14">
        <v>0.88900000000000001</v>
      </c>
      <c r="D14">
        <v>0.90300000000000002</v>
      </c>
      <c r="E14">
        <v>0.85799999999999998</v>
      </c>
      <c r="F14">
        <v>0.872</v>
      </c>
      <c r="G14">
        <v>0.86799999999999999</v>
      </c>
      <c r="H14">
        <v>0.76100000000000001</v>
      </c>
      <c r="I14">
        <v>0.75900000000000001</v>
      </c>
      <c r="J14">
        <v>0.70499999999999996</v>
      </c>
      <c r="K14">
        <v>0.74</v>
      </c>
    </row>
    <row r="15" spans="1:11" x14ac:dyDescent="0.2">
      <c r="A15">
        <v>1996</v>
      </c>
      <c r="B15">
        <v>1</v>
      </c>
      <c r="C15">
        <v>0.998</v>
      </c>
      <c r="D15">
        <v>0.90900000000000003</v>
      </c>
      <c r="E15">
        <v>0.97399999999999998</v>
      </c>
      <c r="F15">
        <v>0.95</v>
      </c>
      <c r="G15">
        <v>0.99099999999999999</v>
      </c>
      <c r="H15">
        <v>0.91400000000000003</v>
      </c>
      <c r="I15">
        <v>0.94499999999999995</v>
      </c>
      <c r="J15">
        <v>0.879</v>
      </c>
      <c r="K15">
        <v>0.80400000000000005</v>
      </c>
    </row>
    <row r="16" spans="1:11" x14ac:dyDescent="0.2">
      <c r="A16">
        <v>1997</v>
      </c>
      <c r="B16">
        <v>0.99199999999999999</v>
      </c>
      <c r="C16">
        <v>0.97</v>
      </c>
      <c r="D16">
        <v>0.91</v>
      </c>
      <c r="E16">
        <v>0.92600000000000005</v>
      </c>
      <c r="F16">
        <v>0.95099999999999996</v>
      </c>
      <c r="G16">
        <v>0.93899999999999995</v>
      </c>
      <c r="H16">
        <v>0.93899999999999995</v>
      </c>
      <c r="I16">
        <v>0.92500000000000004</v>
      </c>
      <c r="J16">
        <v>0.872</v>
      </c>
      <c r="K16">
        <v>0.90600000000000003</v>
      </c>
    </row>
    <row r="17" spans="1:11" x14ac:dyDescent="0.2">
      <c r="A17">
        <v>1998</v>
      </c>
      <c r="C17">
        <v>0.96399999999999997</v>
      </c>
      <c r="D17">
        <v>0.97399999999999998</v>
      </c>
      <c r="E17">
        <v>0.97799999999999998</v>
      </c>
      <c r="F17">
        <v>0.97099999999999997</v>
      </c>
      <c r="G17">
        <v>0.94899999999999995</v>
      </c>
      <c r="H17">
        <v>0.94799999999999995</v>
      </c>
      <c r="I17">
        <v>0.94199999999999995</v>
      </c>
      <c r="J17">
        <v>0.997</v>
      </c>
      <c r="K17">
        <v>0.85699999999999998</v>
      </c>
    </row>
    <row r="18" spans="1:11" x14ac:dyDescent="0.2">
      <c r="A18">
        <v>1999</v>
      </c>
      <c r="C18">
        <v>0.96599999999999997</v>
      </c>
      <c r="D18">
        <v>0.98799999999999999</v>
      </c>
      <c r="E18">
        <v>0.95299999999999996</v>
      </c>
      <c r="F18">
        <v>0.93400000000000005</v>
      </c>
      <c r="G18">
        <v>0.91700000000000004</v>
      </c>
      <c r="H18">
        <v>0.878</v>
      </c>
      <c r="I18">
        <v>0.83299999999999996</v>
      </c>
      <c r="J18">
        <v>0.73199999999999998</v>
      </c>
      <c r="K18">
        <v>0.66500000000000004</v>
      </c>
    </row>
    <row r="19" spans="1:11" x14ac:dyDescent="0.2">
      <c r="A19">
        <v>2000</v>
      </c>
      <c r="C19">
        <v>0.97299999999999998</v>
      </c>
      <c r="D19">
        <v>0.96199999999999997</v>
      </c>
      <c r="E19">
        <v>0.95799999999999996</v>
      </c>
      <c r="F19">
        <v>0.92900000000000005</v>
      </c>
      <c r="G19">
        <v>0.89800000000000002</v>
      </c>
      <c r="H19">
        <v>0.872</v>
      </c>
      <c r="I19">
        <v>0.90700000000000003</v>
      </c>
      <c r="J19">
        <v>0.90800000000000003</v>
      </c>
      <c r="K19">
        <v>0.85799999999999998</v>
      </c>
    </row>
    <row r="20" spans="1:11" x14ac:dyDescent="0.2">
      <c r="A20">
        <v>2001</v>
      </c>
      <c r="B20">
        <v>0.995</v>
      </c>
      <c r="C20">
        <v>0.998</v>
      </c>
      <c r="D20">
        <v>0.94799999999999995</v>
      </c>
      <c r="E20">
        <v>0.88800000000000001</v>
      </c>
      <c r="F20">
        <v>0.90800000000000003</v>
      </c>
      <c r="G20">
        <v>0.93</v>
      </c>
      <c r="H20">
        <v>0.96099999999999997</v>
      </c>
      <c r="I20">
        <v>0.94499999999999995</v>
      </c>
      <c r="J20">
        <v>0.85799999999999998</v>
      </c>
      <c r="K20">
        <v>0.85799999999999998</v>
      </c>
    </row>
    <row r="21" spans="1:11" x14ac:dyDescent="0.2">
      <c r="A21">
        <v>2002</v>
      </c>
      <c r="B21">
        <v>0.98599999999999999</v>
      </c>
      <c r="C21">
        <v>0.98899999999999999</v>
      </c>
      <c r="D21">
        <v>0.99299999999999999</v>
      </c>
      <c r="E21">
        <v>0.97</v>
      </c>
      <c r="F21">
        <v>0.872</v>
      </c>
      <c r="G21">
        <v>0.94599999999999995</v>
      </c>
      <c r="H21">
        <v>0.82899999999999996</v>
      </c>
      <c r="I21">
        <v>0.88</v>
      </c>
      <c r="J21">
        <v>0.85099999999999998</v>
      </c>
      <c r="K21">
        <v>0.85099999999999998</v>
      </c>
    </row>
    <row r="22" spans="1:11" x14ac:dyDescent="0.2">
      <c r="A22">
        <v>2003</v>
      </c>
      <c r="B22">
        <v>1</v>
      </c>
      <c r="C22">
        <v>0.98699999999999999</v>
      </c>
      <c r="D22">
        <v>0.96099999999999997</v>
      </c>
      <c r="E22">
        <v>0.99399999999999999</v>
      </c>
      <c r="F22">
        <v>0.97</v>
      </c>
      <c r="G22">
        <v>0.92900000000000005</v>
      </c>
      <c r="H22">
        <v>0.88300000000000001</v>
      </c>
      <c r="I22">
        <v>0.79500000000000004</v>
      </c>
      <c r="J22">
        <v>0.23599999999999999</v>
      </c>
      <c r="K22">
        <v>0.23599999999999999</v>
      </c>
    </row>
    <row r="23" spans="1:11" x14ac:dyDescent="0.2">
      <c r="A23">
        <v>2004</v>
      </c>
      <c r="C23">
        <v>0.96799999999999997</v>
      </c>
      <c r="D23">
        <v>0.95</v>
      </c>
      <c r="E23">
        <v>0.93</v>
      </c>
      <c r="F23">
        <v>0.93899999999999995</v>
      </c>
      <c r="G23">
        <v>0.88400000000000001</v>
      </c>
      <c r="H23">
        <v>0.73099999999999998</v>
      </c>
      <c r="I23">
        <v>0.79900000000000004</v>
      </c>
      <c r="J23">
        <v>0.90900000000000003</v>
      </c>
      <c r="K23">
        <v>0.89100000000000001</v>
      </c>
    </row>
    <row r="24" spans="1:11" x14ac:dyDescent="0.2">
      <c r="A24">
        <v>2005</v>
      </c>
      <c r="B24">
        <v>0.97299999999999998</v>
      </c>
      <c r="C24">
        <v>0.97299999999999998</v>
      </c>
      <c r="D24">
        <v>0.95299999999999996</v>
      </c>
      <c r="E24">
        <v>0.94699999999999995</v>
      </c>
      <c r="F24">
        <v>0.93200000000000005</v>
      </c>
      <c r="G24">
        <v>0.92400000000000004</v>
      </c>
      <c r="H24">
        <v>0.88100000000000001</v>
      </c>
      <c r="I24">
        <v>0.88500000000000001</v>
      </c>
      <c r="J24">
        <v>0.78600000000000003</v>
      </c>
      <c r="K24">
        <v>0.76700000000000002</v>
      </c>
    </row>
    <row r="25" spans="1:11" x14ac:dyDescent="0.2">
      <c r="A25">
        <v>2006</v>
      </c>
      <c r="B25">
        <v>0.95699999999999996</v>
      </c>
      <c r="C25">
        <v>0.95699999999999996</v>
      </c>
      <c r="D25">
        <v>0.91200000000000003</v>
      </c>
      <c r="E25">
        <v>0.85599999999999998</v>
      </c>
      <c r="F25">
        <v>0.89600000000000002</v>
      </c>
      <c r="G25">
        <v>0.81899999999999995</v>
      </c>
      <c r="H25">
        <v>0.80200000000000005</v>
      </c>
      <c r="I25">
        <v>0.84199999999999997</v>
      </c>
      <c r="J25">
        <v>0.97</v>
      </c>
      <c r="K25">
        <v>0.97</v>
      </c>
    </row>
    <row r="26" spans="1:11" x14ac:dyDescent="0.2">
      <c r="A26">
        <v>2007</v>
      </c>
      <c r="B26">
        <v>1</v>
      </c>
      <c r="C26">
        <v>0.99199999999999999</v>
      </c>
      <c r="D26">
        <v>0.93400000000000005</v>
      </c>
      <c r="E26">
        <v>0.80700000000000005</v>
      </c>
      <c r="F26">
        <v>0.71599999999999997</v>
      </c>
      <c r="G26">
        <v>0.82099999999999995</v>
      </c>
      <c r="H26">
        <v>0.879</v>
      </c>
      <c r="I26">
        <v>0.82399999999999995</v>
      </c>
      <c r="J26">
        <v>0.81200000000000006</v>
      </c>
      <c r="K26">
        <v>0.78600000000000003</v>
      </c>
    </row>
    <row r="27" spans="1:11" x14ac:dyDescent="0.2">
      <c r="A27">
        <v>2008</v>
      </c>
      <c r="B27">
        <v>0.97499999999999998</v>
      </c>
      <c r="C27">
        <v>0.9</v>
      </c>
      <c r="D27">
        <v>0.69499999999999995</v>
      </c>
      <c r="E27">
        <v>0.63200000000000001</v>
      </c>
      <c r="F27">
        <v>0.58899999999999997</v>
      </c>
      <c r="G27">
        <v>0.47</v>
      </c>
      <c r="H27">
        <v>0.42399999999999999</v>
      </c>
      <c r="I27">
        <v>0.48799999999999999</v>
      </c>
      <c r="J27">
        <v>0.48899999999999999</v>
      </c>
      <c r="K27">
        <v>0.48899999999999999</v>
      </c>
    </row>
    <row r="28" spans="1:11" x14ac:dyDescent="0.2">
      <c r="A28">
        <v>2009</v>
      </c>
      <c r="B28">
        <v>0.90200000000000002</v>
      </c>
      <c r="C28">
        <v>0.90200000000000002</v>
      </c>
      <c r="D28">
        <v>0.71499999999999997</v>
      </c>
      <c r="E28">
        <v>0.68300000000000005</v>
      </c>
      <c r="F28">
        <v>0.55200000000000005</v>
      </c>
      <c r="G28">
        <v>0.54200000000000004</v>
      </c>
      <c r="H28">
        <v>0.52800000000000002</v>
      </c>
      <c r="I28">
        <v>0.41599999999999998</v>
      </c>
      <c r="J28">
        <v>0.38200000000000001</v>
      </c>
      <c r="K28">
        <v>0.38200000000000001</v>
      </c>
    </row>
    <row r="29" spans="1:11" x14ac:dyDescent="0.2">
      <c r="A29">
        <v>2010</v>
      </c>
      <c r="C29">
        <v>0.96399999999999997</v>
      </c>
      <c r="D29">
        <v>0.95499999999999996</v>
      </c>
      <c r="E29">
        <v>0.96</v>
      </c>
      <c r="F29">
        <v>0.73699999999999999</v>
      </c>
      <c r="G29">
        <v>0.63700000000000001</v>
      </c>
      <c r="H29">
        <v>0.754</v>
      </c>
      <c r="I29">
        <v>0.63600000000000001</v>
      </c>
      <c r="J29">
        <v>0.52900000000000003</v>
      </c>
      <c r="K29">
        <v>0.76400000000000001</v>
      </c>
    </row>
    <row r="30" spans="1:11" x14ac:dyDescent="0.2">
      <c r="A30">
        <v>2011</v>
      </c>
      <c r="C30">
        <v>0.98799999999999999</v>
      </c>
      <c r="D30">
        <v>0.94299999999999995</v>
      </c>
      <c r="E30">
        <v>0.79700000000000004</v>
      </c>
      <c r="F30">
        <v>0.76600000000000001</v>
      </c>
      <c r="G30">
        <v>0.69899999999999995</v>
      </c>
      <c r="H30">
        <v>0.68300000000000005</v>
      </c>
      <c r="I30">
        <v>0.60599999999999998</v>
      </c>
      <c r="J30">
        <v>0.36499999999999999</v>
      </c>
      <c r="K30">
        <v>0.22800000000000001</v>
      </c>
    </row>
    <row r="31" spans="1:11" x14ac:dyDescent="0.2">
      <c r="A31">
        <v>2012</v>
      </c>
      <c r="B31">
        <v>0.93799999999999994</v>
      </c>
      <c r="C31">
        <v>0.72</v>
      </c>
      <c r="D31">
        <v>0.90900000000000003</v>
      </c>
      <c r="E31">
        <v>0.82799999999999996</v>
      </c>
      <c r="F31">
        <v>0.63200000000000001</v>
      </c>
      <c r="G31">
        <v>0.32100000000000001</v>
      </c>
      <c r="H31">
        <v>0.38900000000000001</v>
      </c>
      <c r="I31">
        <v>8.5000000000000006E-2</v>
      </c>
      <c r="J31">
        <v>0.29799999999999999</v>
      </c>
      <c r="K31">
        <v>0.29799999999999999</v>
      </c>
    </row>
    <row r="32" spans="1:11" x14ac:dyDescent="0.2">
      <c r="A32">
        <v>2013</v>
      </c>
      <c r="B32">
        <v>0.96</v>
      </c>
      <c r="C32">
        <v>0.92700000000000005</v>
      </c>
      <c r="D32">
        <v>0.86499999999999999</v>
      </c>
      <c r="E32">
        <v>0.79400000000000004</v>
      </c>
      <c r="F32">
        <v>0.46700000000000003</v>
      </c>
      <c r="G32">
        <v>0.47699999999999998</v>
      </c>
      <c r="H32">
        <v>0.45700000000000002</v>
      </c>
      <c r="I32">
        <v>0.45700000000000002</v>
      </c>
      <c r="J32">
        <v>0.45700000000000002</v>
      </c>
      <c r="K32">
        <v>0.45700000000000002</v>
      </c>
    </row>
    <row r="33" spans="1:11" x14ac:dyDescent="0.2">
      <c r="A33">
        <v>2014</v>
      </c>
      <c r="B33">
        <v>0.75600000000000001</v>
      </c>
      <c r="C33">
        <v>0.82499999999999996</v>
      </c>
      <c r="D33">
        <v>0.69499999999999995</v>
      </c>
      <c r="E33">
        <v>0.35499999999999998</v>
      </c>
      <c r="F33">
        <v>0.56799999999999995</v>
      </c>
      <c r="G33">
        <v>0.44500000000000001</v>
      </c>
      <c r="H33">
        <v>0.20599999999999999</v>
      </c>
      <c r="I33">
        <v>0.19900000000000001</v>
      </c>
      <c r="J33">
        <v>0.107</v>
      </c>
      <c r="K33">
        <v>1.4E-2</v>
      </c>
    </row>
    <row r="34" spans="1:11" x14ac:dyDescent="0.2">
      <c r="A34">
        <v>2015</v>
      </c>
      <c r="B34">
        <v>0</v>
      </c>
      <c r="C34">
        <v>0.91</v>
      </c>
      <c r="D34">
        <v>0.96899999999999997</v>
      </c>
      <c r="E34">
        <v>0.92700000000000005</v>
      </c>
      <c r="F34">
        <v>0.83</v>
      </c>
      <c r="G34">
        <v>0.81499999999999995</v>
      </c>
      <c r="H34">
        <v>0.82299999999999995</v>
      </c>
      <c r="I34">
        <v>0.73199999999999998</v>
      </c>
      <c r="J34">
        <v>0.69299999999999995</v>
      </c>
      <c r="K34">
        <v>0.69299999999999995</v>
      </c>
    </row>
    <row r="35" spans="1:11" x14ac:dyDescent="0.2">
      <c r="A35">
        <v>2016</v>
      </c>
      <c r="B35">
        <v>0</v>
      </c>
      <c r="C35">
        <v>0.88900000000000001</v>
      </c>
      <c r="D35">
        <v>0.89400000000000002</v>
      </c>
      <c r="E35">
        <v>0.877</v>
      </c>
      <c r="F35">
        <v>0.68100000000000005</v>
      </c>
      <c r="G35">
        <v>0.59899999999999998</v>
      </c>
      <c r="H35">
        <v>0.436</v>
      </c>
      <c r="I35">
        <v>0.52500000000000002</v>
      </c>
      <c r="J35">
        <v>0.33500000000000002</v>
      </c>
      <c r="K35">
        <v>0.31900000000000001</v>
      </c>
    </row>
    <row r="36" spans="1:11" x14ac:dyDescent="0.2">
      <c r="A36">
        <v>2017</v>
      </c>
      <c r="B36">
        <v>0.91400000000000003</v>
      </c>
      <c r="C36">
        <v>0.93</v>
      </c>
      <c r="D36">
        <v>0.65600000000000003</v>
      </c>
      <c r="E36">
        <v>0.64</v>
      </c>
      <c r="F36">
        <v>0.70899999999999996</v>
      </c>
      <c r="G36">
        <v>0.60799999999999998</v>
      </c>
      <c r="H36">
        <v>0.59099999999999997</v>
      </c>
      <c r="I36">
        <v>0.51200000000000001</v>
      </c>
      <c r="J36">
        <v>0.45</v>
      </c>
      <c r="K36">
        <v>0.51</v>
      </c>
    </row>
    <row r="37" spans="1:11" x14ac:dyDescent="0.2">
      <c r="A37">
        <v>2018</v>
      </c>
      <c r="B37">
        <v>0.96199999999999997</v>
      </c>
      <c r="C37">
        <v>0.93600000000000005</v>
      </c>
      <c r="D37">
        <v>0.73099999999999998</v>
      </c>
      <c r="E37">
        <v>0.49199999999999999</v>
      </c>
      <c r="F37">
        <v>0.31</v>
      </c>
      <c r="G37">
        <v>0.41199999999999998</v>
      </c>
      <c r="H37">
        <v>0.45100000000000001</v>
      </c>
      <c r="I37">
        <v>0.22800000000000001</v>
      </c>
      <c r="J37">
        <v>0.22800000000000001</v>
      </c>
      <c r="K37">
        <v>0.252</v>
      </c>
    </row>
    <row r="38" spans="1:11" x14ac:dyDescent="0.2">
      <c r="A38">
        <v>2019</v>
      </c>
      <c r="B38">
        <v>0.57399999999999995</v>
      </c>
      <c r="C38">
        <v>0.82899999999999996</v>
      </c>
      <c r="D38">
        <v>0.88800000000000001</v>
      </c>
      <c r="E38">
        <v>0.79700000000000004</v>
      </c>
      <c r="F38">
        <v>0.71399999999999997</v>
      </c>
      <c r="G38">
        <v>0.64400000000000002</v>
      </c>
      <c r="H38">
        <v>0.80500000000000005</v>
      </c>
      <c r="I38">
        <v>0.65100000000000002</v>
      </c>
      <c r="J38">
        <v>0.57299999999999995</v>
      </c>
      <c r="K38">
        <v>0.30199999999999999</v>
      </c>
    </row>
    <row r="39" spans="1:11" x14ac:dyDescent="0.2">
      <c r="A39">
        <v>2020</v>
      </c>
      <c r="B39">
        <v>0</v>
      </c>
      <c r="C39">
        <v>0.95099999999999996</v>
      </c>
      <c r="D39">
        <v>0.98099999999999998</v>
      </c>
      <c r="E39">
        <v>0.92700000000000005</v>
      </c>
      <c r="F39">
        <v>0.32600000000000001</v>
      </c>
      <c r="G39">
        <v>0.31900000000000001</v>
      </c>
      <c r="H39">
        <v>0.18</v>
      </c>
      <c r="I39">
        <v>4.8000000000000001E-2</v>
      </c>
      <c r="J39">
        <v>5.6000000000000001E-2</v>
      </c>
      <c r="K39">
        <v>3.5000000000000003E-2</v>
      </c>
    </row>
    <row r="40" spans="1:11" x14ac:dyDescent="0.2">
      <c r="A40">
        <v>2021</v>
      </c>
      <c r="B40">
        <v>0</v>
      </c>
      <c r="C40">
        <v>0.99399999999999999</v>
      </c>
      <c r="D40">
        <v>0.99299999999999999</v>
      </c>
      <c r="E40">
        <v>0.95199999999999996</v>
      </c>
      <c r="F40">
        <v>0.71899999999999997</v>
      </c>
      <c r="G40">
        <v>0.7</v>
      </c>
      <c r="H40">
        <v>0.76500000000000001</v>
      </c>
      <c r="I40">
        <v>0.67600000000000005</v>
      </c>
      <c r="J40">
        <v>0.52400000000000002</v>
      </c>
      <c r="K40">
        <v>0.75600000000000001</v>
      </c>
    </row>
    <row r="41" spans="1:11" x14ac:dyDescent="0.2">
      <c r="A41">
        <v>2022</v>
      </c>
      <c r="B41">
        <v>0</v>
      </c>
      <c r="C41">
        <v>0.94299999999999995</v>
      </c>
      <c r="D41">
        <v>0.91700000000000004</v>
      </c>
      <c r="E41">
        <v>0.77300000000000002</v>
      </c>
      <c r="F41">
        <v>0.73</v>
      </c>
      <c r="G41">
        <v>0.76600000000000001</v>
      </c>
      <c r="H41">
        <v>0.57499999999999996</v>
      </c>
      <c r="I41">
        <v>0.59799999999999998</v>
      </c>
      <c r="J41">
        <v>0.78700000000000003</v>
      </c>
      <c r="K41">
        <v>0.60099999999999998</v>
      </c>
    </row>
    <row r="42" spans="1:11" x14ac:dyDescent="0.2">
      <c r="A42">
        <v>2023</v>
      </c>
      <c r="B42">
        <v>0.96799999999999997</v>
      </c>
      <c r="C42">
        <v>0.873</v>
      </c>
      <c r="D42">
        <v>0.93300000000000005</v>
      </c>
      <c r="E42">
        <v>0.67800000000000005</v>
      </c>
      <c r="F42">
        <v>0.67400000000000004</v>
      </c>
      <c r="G42">
        <v>0.38700000000000001</v>
      </c>
      <c r="H42">
        <v>0.623</v>
      </c>
      <c r="I42">
        <v>0.46100000000000002</v>
      </c>
      <c r="J42">
        <v>0.41499999999999998</v>
      </c>
      <c r="K42">
        <v>0.56100000000000005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0CC4B-B2D4-42CC-A057-E7331F8EA4A0}">
  <dimension ref="A1:N65"/>
  <sheetViews>
    <sheetView zoomScale="85" zoomScaleNormal="85" workbookViewId="0">
      <pane xSplit="1" ySplit="1" topLeftCell="B38" activePane="bottomRight" state="frozen"/>
      <selection pane="topRight" activeCell="B1" sqref="B1"/>
      <selection pane="bottomLeft" activeCell="A2" sqref="A2"/>
      <selection pane="bottomRight" activeCell="C68" sqref="C68"/>
    </sheetView>
  </sheetViews>
  <sheetFormatPr baseColWidth="10" defaultColWidth="8.83203125" defaultRowHeight="15" x14ac:dyDescent="0.2"/>
  <cols>
    <col min="6" max="6" width="15.5" customWidth="1"/>
    <col min="8" max="8" width="12.1640625" customWidth="1"/>
    <col min="9" max="9" width="11.83203125" customWidth="1"/>
  </cols>
  <sheetData>
    <row r="1" spans="1:14" x14ac:dyDescent="0.2">
      <c r="A1" t="s">
        <v>50</v>
      </c>
      <c r="B1" t="s">
        <v>51</v>
      </c>
      <c r="C1" t="s">
        <v>52</v>
      </c>
      <c r="D1" t="s">
        <v>53</v>
      </c>
      <c r="E1" t="s">
        <v>60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63</v>
      </c>
      <c r="L1" t="s">
        <v>59</v>
      </c>
      <c r="M1" t="s">
        <v>62</v>
      </c>
      <c r="N1" t="s">
        <v>61</v>
      </c>
    </row>
    <row r="2" spans="1:14" x14ac:dyDescent="0.2">
      <c r="A2">
        <v>1960</v>
      </c>
    </row>
    <row r="3" spans="1:14" x14ac:dyDescent="0.2">
      <c r="A3">
        <v>1961</v>
      </c>
      <c r="B3">
        <v>2120</v>
      </c>
      <c r="E3">
        <f>SUM(B3:D3)</f>
        <v>2120</v>
      </c>
    </row>
    <row r="4" spans="1:14" x14ac:dyDescent="0.2">
      <c r="A4">
        <v>1962</v>
      </c>
    </row>
    <row r="5" spans="1:14" x14ac:dyDescent="0.2">
      <c r="A5">
        <v>1963</v>
      </c>
      <c r="B5">
        <v>131</v>
      </c>
      <c r="E5">
        <f t="shared" ref="E5:E65" si="0">SUM(B5:D5)</f>
        <v>131</v>
      </c>
    </row>
    <row r="6" spans="1:14" x14ac:dyDescent="0.2">
      <c r="A6">
        <v>1964</v>
      </c>
      <c r="B6">
        <v>591</v>
      </c>
      <c r="E6">
        <f t="shared" si="0"/>
        <v>591</v>
      </c>
    </row>
    <row r="7" spans="1:14" x14ac:dyDescent="0.2">
      <c r="A7">
        <v>1965</v>
      </c>
      <c r="B7">
        <v>719</v>
      </c>
      <c r="E7">
        <f t="shared" si="0"/>
        <v>719</v>
      </c>
    </row>
    <row r="8" spans="1:14" x14ac:dyDescent="0.2">
      <c r="A8">
        <v>1966</v>
      </c>
      <c r="B8">
        <v>934</v>
      </c>
      <c r="E8">
        <f t="shared" si="0"/>
        <v>934</v>
      </c>
    </row>
    <row r="9" spans="1:14" x14ac:dyDescent="0.2">
      <c r="A9">
        <v>1967</v>
      </c>
      <c r="B9">
        <v>225</v>
      </c>
      <c r="E9">
        <f t="shared" si="0"/>
        <v>225</v>
      </c>
    </row>
    <row r="10" spans="1:14" x14ac:dyDescent="0.2">
      <c r="A10">
        <v>1968</v>
      </c>
      <c r="B10">
        <v>215</v>
      </c>
      <c r="E10">
        <f t="shared" si="0"/>
        <v>215</v>
      </c>
    </row>
    <row r="11" spans="1:14" x14ac:dyDescent="0.2">
      <c r="A11">
        <v>1969</v>
      </c>
      <c r="B11">
        <v>685</v>
      </c>
      <c r="E11">
        <f t="shared" si="0"/>
        <v>685</v>
      </c>
    </row>
    <row r="12" spans="1:14" x14ac:dyDescent="0.2">
      <c r="A12">
        <v>1970</v>
      </c>
      <c r="B12">
        <v>1128</v>
      </c>
      <c r="E12">
        <f t="shared" si="0"/>
        <v>1128</v>
      </c>
    </row>
    <row r="13" spans="1:14" x14ac:dyDescent="0.2">
      <c r="A13">
        <v>1971</v>
      </c>
      <c r="B13">
        <v>1222</v>
      </c>
      <c r="E13">
        <f t="shared" si="0"/>
        <v>1222</v>
      </c>
    </row>
    <row r="14" spans="1:14" x14ac:dyDescent="0.2">
      <c r="A14">
        <v>1972</v>
      </c>
      <c r="B14">
        <v>1827</v>
      </c>
      <c r="E14">
        <f t="shared" si="0"/>
        <v>1827</v>
      </c>
    </row>
    <row r="15" spans="1:14" x14ac:dyDescent="0.2">
      <c r="A15">
        <v>1973</v>
      </c>
      <c r="B15">
        <v>1757</v>
      </c>
      <c r="E15">
        <f t="shared" si="0"/>
        <v>1757</v>
      </c>
    </row>
    <row r="16" spans="1:14" x14ac:dyDescent="0.2">
      <c r="A16">
        <v>1974</v>
      </c>
      <c r="B16">
        <v>1162</v>
      </c>
      <c r="E16">
        <f t="shared" si="0"/>
        <v>1162</v>
      </c>
    </row>
    <row r="17" spans="1:12" x14ac:dyDescent="0.2">
      <c r="A17">
        <v>1975</v>
      </c>
      <c r="B17">
        <v>1379</v>
      </c>
      <c r="E17">
        <f t="shared" si="0"/>
        <v>1379</v>
      </c>
    </row>
    <row r="18" spans="1:12" x14ac:dyDescent="0.2">
      <c r="A18">
        <v>1976</v>
      </c>
      <c r="B18">
        <v>512</v>
      </c>
      <c r="D18">
        <v>13</v>
      </c>
      <c r="E18">
        <f t="shared" si="0"/>
        <v>525</v>
      </c>
      <c r="F18">
        <v>1278</v>
      </c>
      <c r="J18">
        <v>150</v>
      </c>
      <c r="K18">
        <v>200</v>
      </c>
      <c r="L18">
        <f>SUM(J18:K18)</f>
        <v>350</v>
      </c>
    </row>
    <row r="19" spans="1:12" x14ac:dyDescent="0.2">
      <c r="A19">
        <v>1977</v>
      </c>
      <c r="B19">
        <v>1402</v>
      </c>
      <c r="D19">
        <v>18</v>
      </c>
      <c r="E19">
        <f t="shared" si="0"/>
        <v>1420</v>
      </c>
      <c r="F19">
        <v>3144</v>
      </c>
      <c r="J19">
        <v>350</v>
      </c>
      <c r="K19">
        <v>300</v>
      </c>
      <c r="L19">
        <f t="shared" ref="L19:L61" si="1">SUM(J19:K19)</f>
        <v>650</v>
      </c>
    </row>
    <row r="20" spans="1:12" x14ac:dyDescent="0.2">
      <c r="A20">
        <v>1978</v>
      </c>
      <c r="B20">
        <v>2441</v>
      </c>
      <c r="E20">
        <f t="shared" si="0"/>
        <v>2441</v>
      </c>
      <c r="F20">
        <v>2976</v>
      </c>
      <c r="J20">
        <v>350</v>
      </c>
      <c r="K20">
        <v>300</v>
      </c>
      <c r="L20">
        <f t="shared" si="1"/>
        <v>650</v>
      </c>
    </row>
    <row r="21" spans="1:12" x14ac:dyDescent="0.2">
      <c r="A21">
        <v>1979</v>
      </c>
      <c r="B21">
        <v>2525</v>
      </c>
      <c r="D21">
        <v>80</v>
      </c>
      <c r="E21">
        <f t="shared" si="0"/>
        <v>2605</v>
      </c>
      <c r="F21">
        <v>4404</v>
      </c>
      <c r="J21">
        <v>1300</v>
      </c>
      <c r="K21">
        <v>650</v>
      </c>
      <c r="L21">
        <f t="shared" si="1"/>
        <v>1950</v>
      </c>
    </row>
    <row r="22" spans="1:12" x14ac:dyDescent="0.2">
      <c r="A22">
        <v>1980</v>
      </c>
      <c r="B22">
        <v>1382</v>
      </c>
      <c r="D22">
        <v>57</v>
      </c>
      <c r="E22">
        <f t="shared" si="0"/>
        <v>1439</v>
      </c>
      <c r="F22">
        <v>2637</v>
      </c>
      <c r="J22">
        <v>150</v>
      </c>
      <c r="K22">
        <v>200</v>
      </c>
      <c r="L22">
        <f t="shared" si="1"/>
        <v>350</v>
      </c>
    </row>
    <row r="23" spans="1:12" x14ac:dyDescent="0.2">
      <c r="A23">
        <v>1981</v>
      </c>
      <c r="B23">
        <v>779</v>
      </c>
      <c r="D23">
        <v>32</v>
      </c>
      <c r="E23">
        <f t="shared" si="0"/>
        <v>811</v>
      </c>
      <c r="F23">
        <v>2113</v>
      </c>
      <c r="J23">
        <v>150</v>
      </c>
      <c r="K23">
        <v>315</v>
      </c>
      <c r="L23">
        <f t="shared" si="1"/>
        <v>465</v>
      </c>
    </row>
    <row r="24" spans="1:12" x14ac:dyDescent="0.2">
      <c r="A24">
        <v>1982</v>
      </c>
      <c r="B24">
        <v>532</v>
      </c>
      <c r="D24">
        <v>87</v>
      </c>
      <c r="E24">
        <f t="shared" si="0"/>
        <v>619</v>
      </c>
      <c r="F24">
        <v>2369</v>
      </c>
      <c r="J24">
        <v>400</v>
      </c>
      <c r="K24">
        <v>224</v>
      </c>
      <c r="L24">
        <f t="shared" si="1"/>
        <v>624</v>
      </c>
    </row>
    <row r="25" spans="1:12" x14ac:dyDescent="0.2">
      <c r="A25">
        <v>1983</v>
      </c>
      <c r="B25">
        <v>94</v>
      </c>
      <c r="D25">
        <v>31</v>
      </c>
      <c r="E25">
        <f t="shared" si="0"/>
        <v>125</v>
      </c>
      <c r="F25">
        <v>2537</v>
      </c>
      <c r="J25">
        <v>300</v>
      </c>
      <c r="K25">
        <v>312</v>
      </c>
      <c r="L25">
        <f t="shared" si="1"/>
        <v>612</v>
      </c>
    </row>
    <row r="26" spans="1:12" x14ac:dyDescent="0.2">
      <c r="A26">
        <v>1984</v>
      </c>
      <c r="B26">
        <v>60</v>
      </c>
      <c r="E26">
        <f t="shared" si="0"/>
        <v>60</v>
      </c>
      <c r="F26">
        <v>1672</v>
      </c>
      <c r="J26">
        <v>100</v>
      </c>
      <c r="K26">
        <v>475</v>
      </c>
      <c r="L26">
        <f t="shared" si="1"/>
        <v>575</v>
      </c>
    </row>
    <row r="27" spans="1:12" x14ac:dyDescent="0.2">
      <c r="A27">
        <v>1985</v>
      </c>
      <c r="B27">
        <v>213</v>
      </c>
      <c r="D27">
        <v>16</v>
      </c>
      <c r="E27">
        <f t="shared" si="0"/>
        <v>229</v>
      </c>
      <c r="F27">
        <v>1458</v>
      </c>
      <c r="J27">
        <v>175</v>
      </c>
      <c r="K27">
        <v>250</v>
      </c>
      <c r="L27">
        <f t="shared" si="1"/>
        <v>425</v>
      </c>
    </row>
    <row r="28" spans="1:12" x14ac:dyDescent="0.2">
      <c r="A28">
        <v>1986</v>
      </c>
      <c r="B28">
        <v>481</v>
      </c>
      <c r="D28">
        <v>22</v>
      </c>
      <c r="E28">
        <f t="shared" si="0"/>
        <v>503</v>
      </c>
      <c r="F28">
        <v>2709</v>
      </c>
      <c r="J28">
        <v>102</v>
      </c>
      <c r="K28">
        <v>165</v>
      </c>
      <c r="L28">
        <f t="shared" si="1"/>
        <v>267</v>
      </c>
    </row>
    <row r="29" spans="1:12" x14ac:dyDescent="0.2">
      <c r="A29">
        <v>1987</v>
      </c>
      <c r="B29">
        <v>347</v>
      </c>
      <c r="D29">
        <v>27</v>
      </c>
      <c r="E29">
        <f t="shared" si="0"/>
        <v>374</v>
      </c>
      <c r="F29">
        <v>2616</v>
      </c>
      <c r="J29">
        <v>125</v>
      </c>
      <c r="K29">
        <v>367</v>
      </c>
      <c r="L29">
        <f t="shared" si="1"/>
        <v>492</v>
      </c>
    </row>
    <row r="30" spans="1:12" x14ac:dyDescent="0.2">
      <c r="A30">
        <v>1988</v>
      </c>
      <c r="B30">
        <v>223</v>
      </c>
      <c r="D30">
        <v>13</v>
      </c>
      <c r="E30">
        <f t="shared" si="0"/>
        <v>236</v>
      </c>
      <c r="F30">
        <v>2037</v>
      </c>
      <c r="J30">
        <v>43</v>
      </c>
      <c r="K30">
        <v>249</v>
      </c>
      <c r="L30">
        <f t="shared" si="1"/>
        <v>292</v>
      </c>
    </row>
    <row r="31" spans="1:12" x14ac:dyDescent="0.2">
      <c r="A31">
        <v>1989</v>
      </c>
      <c r="B31">
        <v>228</v>
      </c>
      <c r="D31">
        <v>20</v>
      </c>
      <c r="E31">
        <f t="shared" si="0"/>
        <v>248</v>
      </c>
      <c r="F31">
        <v>2456</v>
      </c>
      <c r="J31">
        <v>234</v>
      </c>
      <c r="K31">
        <v>272</v>
      </c>
      <c r="L31">
        <f t="shared" si="1"/>
        <v>506</v>
      </c>
    </row>
    <row r="32" spans="1:12" x14ac:dyDescent="0.2">
      <c r="A32">
        <v>1990</v>
      </c>
      <c r="B32">
        <v>78</v>
      </c>
      <c r="D32">
        <v>85</v>
      </c>
      <c r="E32">
        <f t="shared" si="0"/>
        <v>163</v>
      </c>
      <c r="F32">
        <v>1915</v>
      </c>
      <c r="J32">
        <v>202</v>
      </c>
      <c r="K32">
        <v>555</v>
      </c>
      <c r="L32">
        <f t="shared" si="1"/>
        <v>757</v>
      </c>
    </row>
    <row r="33" spans="1:14" x14ac:dyDescent="0.2">
      <c r="A33">
        <v>1991</v>
      </c>
      <c r="B33">
        <v>103</v>
      </c>
      <c r="D33">
        <v>38</v>
      </c>
      <c r="E33">
        <f t="shared" si="0"/>
        <v>141</v>
      </c>
      <c r="F33">
        <v>2489</v>
      </c>
      <c r="J33">
        <v>509</v>
      </c>
      <c r="K33">
        <v>388</v>
      </c>
      <c r="L33">
        <f t="shared" si="1"/>
        <v>897</v>
      </c>
    </row>
    <row r="34" spans="1:14" x14ac:dyDescent="0.2">
      <c r="A34">
        <v>1992</v>
      </c>
      <c r="B34">
        <v>301</v>
      </c>
      <c r="D34">
        <v>15</v>
      </c>
      <c r="E34">
        <f t="shared" si="0"/>
        <v>316</v>
      </c>
      <c r="F34">
        <v>1367</v>
      </c>
      <c r="J34">
        <v>148</v>
      </c>
      <c r="K34">
        <v>103</v>
      </c>
      <c r="L34">
        <f t="shared" si="1"/>
        <v>251</v>
      </c>
    </row>
    <row r="35" spans="1:14" x14ac:dyDescent="0.2">
      <c r="A35">
        <v>1993</v>
      </c>
      <c r="B35">
        <v>300</v>
      </c>
      <c r="D35">
        <v>38</v>
      </c>
      <c r="E35">
        <f t="shared" si="0"/>
        <v>338</v>
      </c>
      <c r="F35">
        <v>3302</v>
      </c>
      <c r="J35">
        <v>152</v>
      </c>
      <c r="K35">
        <v>171</v>
      </c>
      <c r="L35">
        <f t="shared" si="1"/>
        <v>323</v>
      </c>
    </row>
    <row r="36" spans="1:14" x14ac:dyDescent="0.2">
      <c r="A36">
        <v>1994</v>
      </c>
      <c r="B36">
        <v>805</v>
      </c>
      <c r="D36">
        <v>60</v>
      </c>
      <c r="E36">
        <f t="shared" si="0"/>
        <v>865</v>
      </c>
      <c r="F36">
        <v>3727</v>
      </c>
      <c r="J36">
        <v>289</v>
      </c>
      <c r="K36">
        <v>197</v>
      </c>
      <c r="L36">
        <f t="shared" si="1"/>
        <v>486</v>
      </c>
    </row>
    <row r="37" spans="1:14" x14ac:dyDescent="0.2">
      <c r="A37">
        <v>1995</v>
      </c>
      <c r="B37">
        <v>670</v>
      </c>
      <c r="D37">
        <v>51</v>
      </c>
      <c r="E37">
        <f t="shared" si="0"/>
        <v>721</v>
      </c>
      <c r="F37">
        <v>5678</v>
      </c>
      <c r="J37">
        <v>580</v>
      </c>
      <c r="K37">
        <v>1044</v>
      </c>
      <c r="L37">
        <f t="shared" si="1"/>
        <v>1624</v>
      </c>
    </row>
    <row r="38" spans="1:14" x14ac:dyDescent="0.2">
      <c r="A38">
        <v>1996</v>
      </c>
      <c r="B38">
        <v>772</v>
      </c>
      <c r="D38">
        <v>60</v>
      </c>
      <c r="E38">
        <f t="shared" si="0"/>
        <v>832</v>
      </c>
      <c r="F38">
        <v>3599</v>
      </c>
      <c r="J38">
        <v>448</v>
      </c>
      <c r="K38">
        <v>650</v>
      </c>
      <c r="L38">
        <f t="shared" si="1"/>
        <v>1098</v>
      </c>
    </row>
    <row r="39" spans="1:14" x14ac:dyDescent="0.2">
      <c r="A39">
        <v>1997</v>
      </c>
      <c r="B39">
        <v>568</v>
      </c>
      <c r="D39">
        <v>38</v>
      </c>
      <c r="E39">
        <f t="shared" si="0"/>
        <v>606</v>
      </c>
      <c r="F39">
        <v>2989</v>
      </c>
      <c r="J39">
        <v>232</v>
      </c>
      <c r="K39">
        <v>298</v>
      </c>
      <c r="L39">
        <f t="shared" si="1"/>
        <v>530</v>
      </c>
    </row>
    <row r="40" spans="1:14" x14ac:dyDescent="0.2">
      <c r="A40">
        <v>1998</v>
      </c>
      <c r="B40">
        <v>550</v>
      </c>
      <c r="D40">
        <v>63</v>
      </c>
      <c r="E40">
        <f t="shared" si="0"/>
        <v>613</v>
      </c>
      <c r="F40">
        <v>1364</v>
      </c>
      <c r="G40">
        <v>7179</v>
      </c>
      <c r="H40">
        <v>3027</v>
      </c>
      <c r="I40">
        <v>9765</v>
      </c>
      <c r="J40">
        <v>171</v>
      </c>
      <c r="K40">
        <v>175</v>
      </c>
      <c r="L40">
        <f t="shared" si="1"/>
        <v>346</v>
      </c>
      <c r="M40">
        <f>L40/G40</f>
        <v>4.8196127594372473E-2</v>
      </c>
      <c r="N40">
        <f>E40/(E40+G40)</f>
        <v>7.867043121149897E-2</v>
      </c>
    </row>
    <row r="41" spans="1:14" x14ac:dyDescent="0.2">
      <c r="A41">
        <v>1999</v>
      </c>
      <c r="B41">
        <v>482</v>
      </c>
      <c r="D41">
        <v>44</v>
      </c>
      <c r="E41">
        <f t="shared" si="0"/>
        <v>526</v>
      </c>
      <c r="F41">
        <v>2193</v>
      </c>
      <c r="G41">
        <v>15027</v>
      </c>
      <c r="H41">
        <v>8243</v>
      </c>
      <c r="I41">
        <v>22035</v>
      </c>
      <c r="J41">
        <v>238</v>
      </c>
      <c r="K41">
        <v>174</v>
      </c>
      <c r="L41">
        <f t="shared" si="1"/>
        <v>412</v>
      </c>
      <c r="M41">
        <f t="shared" ref="M41:M46" si="2">L41/G41</f>
        <v>2.7417315498768881E-2</v>
      </c>
      <c r="N41">
        <f t="shared" ref="N41:N46" si="3">E41/(E41+G41)</f>
        <v>3.3819841831157979E-2</v>
      </c>
    </row>
    <row r="42" spans="1:14" x14ac:dyDescent="0.2">
      <c r="A42">
        <v>2000</v>
      </c>
      <c r="B42">
        <v>677</v>
      </c>
      <c r="D42">
        <v>73</v>
      </c>
      <c r="E42">
        <f t="shared" si="0"/>
        <v>750</v>
      </c>
      <c r="F42">
        <v>1365</v>
      </c>
      <c r="G42">
        <v>8047</v>
      </c>
      <c r="H42">
        <v>6805</v>
      </c>
      <c r="I42">
        <v>14308</v>
      </c>
      <c r="J42">
        <v>65</v>
      </c>
      <c r="K42">
        <v>77</v>
      </c>
      <c r="L42">
        <f t="shared" si="1"/>
        <v>142</v>
      </c>
      <c r="M42">
        <f t="shared" si="2"/>
        <v>1.7646327824033803E-2</v>
      </c>
      <c r="N42">
        <f t="shared" si="3"/>
        <v>8.5256337387745823E-2</v>
      </c>
    </row>
    <row r="43" spans="1:14" x14ac:dyDescent="0.2">
      <c r="A43">
        <v>2001</v>
      </c>
      <c r="B43">
        <v>541</v>
      </c>
      <c r="D43">
        <v>19</v>
      </c>
      <c r="E43">
        <f t="shared" si="0"/>
        <v>560</v>
      </c>
      <c r="F43">
        <v>1825</v>
      </c>
      <c r="G43">
        <v>6982</v>
      </c>
      <c r="H43">
        <v>9146</v>
      </c>
      <c r="I43">
        <v>14303</v>
      </c>
      <c r="J43">
        <v>120</v>
      </c>
      <c r="K43">
        <v>157</v>
      </c>
      <c r="L43">
        <f t="shared" si="1"/>
        <v>277</v>
      </c>
      <c r="M43">
        <f t="shared" si="2"/>
        <v>3.9673446004010314E-2</v>
      </c>
      <c r="N43">
        <f t="shared" si="3"/>
        <v>7.4250861840360644E-2</v>
      </c>
    </row>
    <row r="44" spans="1:14" x14ac:dyDescent="0.2">
      <c r="A44">
        <v>2002</v>
      </c>
      <c r="B44">
        <v>700</v>
      </c>
      <c r="D44">
        <v>60</v>
      </c>
      <c r="E44">
        <f t="shared" si="0"/>
        <v>760</v>
      </c>
      <c r="F44">
        <v>2240</v>
      </c>
      <c r="G44">
        <v>5886</v>
      </c>
      <c r="H44">
        <v>8345</v>
      </c>
      <c r="I44">
        <v>10790</v>
      </c>
      <c r="J44">
        <v>120</v>
      </c>
      <c r="K44">
        <v>197</v>
      </c>
      <c r="L44">
        <f t="shared" si="1"/>
        <v>317</v>
      </c>
      <c r="M44">
        <f t="shared" si="2"/>
        <v>5.3856608902480459E-2</v>
      </c>
      <c r="N44">
        <f t="shared" si="3"/>
        <v>0.11435449894673488</v>
      </c>
    </row>
    <row r="45" spans="1:14" x14ac:dyDescent="0.2">
      <c r="A45">
        <v>2003</v>
      </c>
      <c r="B45">
        <v>937</v>
      </c>
      <c r="D45">
        <v>24</v>
      </c>
      <c r="E45">
        <f t="shared" si="0"/>
        <v>961</v>
      </c>
      <c r="F45">
        <v>1737</v>
      </c>
      <c r="G45">
        <v>6132</v>
      </c>
      <c r="H45">
        <v>4302</v>
      </c>
      <c r="I45">
        <v>6310</v>
      </c>
      <c r="J45">
        <v>90</v>
      </c>
      <c r="K45">
        <v>138</v>
      </c>
      <c r="L45">
        <f t="shared" si="1"/>
        <v>228</v>
      </c>
      <c r="M45">
        <f t="shared" si="2"/>
        <v>3.7181996086105673E-2</v>
      </c>
      <c r="N45">
        <f t="shared" si="3"/>
        <v>0.13548569011701678</v>
      </c>
    </row>
    <row r="46" spans="1:14" x14ac:dyDescent="0.2">
      <c r="A46">
        <v>2004</v>
      </c>
      <c r="B46">
        <v>656</v>
      </c>
      <c r="D46">
        <v>51</v>
      </c>
      <c r="E46">
        <f t="shared" si="0"/>
        <v>707</v>
      </c>
      <c r="F46">
        <v>2525</v>
      </c>
      <c r="G46">
        <v>7268</v>
      </c>
      <c r="J46">
        <v>139</v>
      </c>
      <c r="K46">
        <v>46</v>
      </c>
      <c r="L46">
        <f t="shared" si="1"/>
        <v>185</v>
      </c>
      <c r="M46">
        <f t="shared" si="2"/>
        <v>2.5454045129334066E-2</v>
      </c>
      <c r="N46">
        <f t="shared" si="3"/>
        <v>8.8652037617554857E-2</v>
      </c>
    </row>
    <row r="47" spans="1:14" x14ac:dyDescent="0.2">
      <c r="A47">
        <v>2005</v>
      </c>
      <c r="B47">
        <v>286</v>
      </c>
      <c r="C47">
        <v>423</v>
      </c>
      <c r="D47">
        <v>31</v>
      </c>
      <c r="E47">
        <f t="shared" si="0"/>
        <v>740</v>
      </c>
      <c r="F47">
        <v>1070</v>
      </c>
      <c r="J47">
        <v>58</v>
      </c>
      <c r="K47">
        <v>56</v>
      </c>
      <c r="L47">
        <f t="shared" si="1"/>
        <v>114</v>
      </c>
    </row>
    <row r="48" spans="1:14" x14ac:dyDescent="0.2">
      <c r="A48">
        <v>2006</v>
      </c>
      <c r="B48">
        <v>530</v>
      </c>
      <c r="C48">
        <v>135</v>
      </c>
      <c r="D48">
        <v>47</v>
      </c>
      <c r="E48">
        <f t="shared" si="0"/>
        <v>712</v>
      </c>
      <c r="F48">
        <v>568</v>
      </c>
      <c r="J48">
        <v>2</v>
      </c>
      <c r="K48">
        <v>17</v>
      </c>
      <c r="L48">
        <f t="shared" si="1"/>
        <v>19</v>
      </c>
    </row>
    <row r="49" spans="1:13" x14ac:dyDescent="0.2">
      <c r="A49">
        <v>2007</v>
      </c>
      <c r="B49">
        <v>400</v>
      </c>
      <c r="C49">
        <v>347</v>
      </c>
      <c r="D49">
        <v>79</v>
      </c>
      <c r="E49">
        <f t="shared" si="0"/>
        <v>826</v>
      </c>
      <c r="F49">
        <v>677</v>
      </c>
      <c r="J49">
        <v>1</v>
      </c>
      <c r="K49">
        <v>40</v>
      </c>
      <c r="L49">
        <f t="shared" si="1"/>
        <v>41</v>
      </c>
    </row>
    <row r="50" spans="1:13" x14ac:dyDescent="0.2">
      <c r="A50">
        <v>2008</v>
      </c>
      <c r="B50">
        <v>128</v>
      </c>
      <c r="C50">
        <v>465</v>
      </c>
      <c r="D50">
        <v>34</v>
      </c>
      <c r="E50">
        <f t="shared" si="0"/>
        <v>627</v>
      </c>
      <c r="F50">
        <v>466</v>
      </c>
      <c r="J50">
        <v>0</v>
      </c>
      <c r="K50">
        <v>7</v>
      </c>
      <c r="L50">
        <f t="shared" si="1"/>
        <v>7</v>
      </c>
    </row>
    <row r="51" spans="1:13" x14ac:dyDescent="0.2">
      <c r="A51">
        <v>2009</v>
      </c>
      <c r="B51">
        <v>602</v>
      </c>
      <c r="C51">
        <v>421</v>
      </c>
      <c r="D51">
        <v>57</v>
      </c>
      <c r="E51">
        <f t="shared" si="0"/>
        <v>1080</v>
      </c>
      <c r="F51">
        <v>1571</v>
      </c>
      <c r="J51">
        <v>105</v>
      </c>
      <c r="K51">
        <v>20</v>
      </c>
      <c r="L51">
        <f t="shared" si="1"/>
        <v>125</v>
      </c>
    </row>
    <row r="52" spans="1:13" x14ac:dyDescent="0.2">
      <c r="A52">
        <v>2010</v>
      </c>
      <c r="B52">
        <v>273</v>
      </c>
      <c r="D52">
        <v>70</v>
      </c>
      <c r="E52">
        <f t="shared" si="0"/>
        <v>343</v>
      </c>
      <c r="F52">
        <v>2358</v>
      </c>
      <c r="J52">
        <v>197</v>
      </c>
      <c r="K52">
        <v>97</v>
      </c>
      <c r="L52">
        <f t="shared" si="1"/>
        <v>294</v>
      </c>
    </row>
    <row r="53" spans="1:13" x14ac:dyDescent="0.2">
      <c r="A53">
        <v>2011</v>
      </c>
      <c r="B53">
        <v>546</v>
      </c>
      <c r="D53">
        <v>44</v>
      </c>
      <c r="E53">
        <f t="shared" si="0"/>
        <v>590</v>
      </c>
      <c r="F53">
        <v>1671</v>
      </c>
      <c r="J53">
        <v>119</v>
      </c>
      <c r="K53">
        <v>95</v>
      </c>
      <c r="L53">
        <f t="shared" si="1"/>
        <v>214</v>
      </c>
    </row>
    <row r="54" spans="1:13" x14ac:dyDescent="0.2">
      <c r="A54">
        <v>2012</v>
      </c>
      <c r="B54">
        <v>510</v>
      </c>
      <c r="C54">
        <v>251</v>
      </c>
      <c r="D54">
        <v>63</v>
      </c>
      <c r="E54">
        <f t="shared" si="0"/>
        <v>824</v>
      </c>
      <c r="F54">
        <v>693</v>
      </c>
      <c r="J54">
        <v>0</v>
      </c>
      <c r="K54">
        <v>85</v>
      </c>
      <c r="L54">
        <f t="shared" si="1"/>
        <v>85</v>
      </c>
    </row>
    <row r="55" spans="1:13" x14ac:dyDescent="0.2">
      <c r="A55">
        <v>2013</v>
      </c>
      <c r="B55">
        <v>469</v>
      </c>
      <c r="D55">
        <v>20</v>
      </c>
      <c r="E55">
        <f t="shared" si="0"/>
        <v>489</v>
      </c>
      <c r="F55">
        <v>1261</v>
      </c>
      <c r="J55">
        <v>67</v>
      </c>
      <c r="K55">
        <v>5</v>
      </c>
      <c r="L55">
        <f t="shared" si="1"/>
        <v>72</v>
      </c>
    </row>
    <row r="56" spans="1:13" x14ac:dyDescent="0.2">
      <c r="A56">
        <v>2014</v>
      </c>
      <c r="B56">
        <v>1074</v>
      </c>
      <c r="D56">
        <v>40</v>
      </c>
      <c r="E56">
        <f t="shared" si="0"/>
        <v>1114</v>
      </c>
      <c r="F56">
        <v>541</v>
      </c>
      <c r="J56">
        <v>17</v>
      </c>
      <c r="K56">
        <v>26</v>
      </c>
      <c r="L56">
        <f t="shared" si="1"/>
        <v>43</v>
      </c>
    </row>
    <row r="57" spans="1:13" x14ac:dyDescent="0.2">
      <c r="A57">
        <v>2015</v>
      </c>
      <c r="B57">
        <v>243</v>
      </c>
      <c r="D57">
        <v>23</v>
      </c>
      <c r="E57">
        <f t="shared" si="0"/>
        <v>266</v>
      </c>
      <c r="F57">
        <v>1432</v>
      </c>
      <c r="J57">
        <v>87</v>
      </c>
      <c r="K57">
        <v>44</v>
      </c>
      <c r="L57">
        <f t="shared" si="1"/>
        <v>131</v>
      </c>
    </row>
    <row r="58" spans="1:13" x14ac:dyDescent="0.2">
      <c r="A58">
        <v>2016</v>
      </c>
      <c r="B58">
        <v>132</v>
      </c>
      <c r="D58">
        <v>11</v>
      </c>
      <c r="E58">
        <f t="shared" si="0"/>
        <v>143</v>
      </c>
      <c r="F58">
        <v>651</v>
      </c>
      <c r="J58">
        <v>10</v>
      </c>
      <c r="K58">
        <v>80</v>
      </c>
      <c r="L58">
        <f t="shared" si="1"/>
        <v>90</v>
      </c>
    </row>
    <row r="59" spans="1:13" x14ac:dyDescent="0.2">
      <c r="A59">
        <v>2017</v>
      </c>
      <c r="B59">
        <v>127</v>
      </c>
      <c r="D59">
        <v>7</v>
      </c>
      <c r="E59">
        <f t="shared" si="0"/>
        <v>134</v>
      </c>
      <c r="F59">
        <v>448</v>
      </c>
      <c r="J59">
        <v>10</v>
      </c>
      <c r="K59">
        <v>41</v>
      </c>
      <c r="L59">
        <f t="shared" si="1"/>
        <v>51</v>
      </c>
    </row>
    <row r="60" spans="1:13" x14ac:dyDescent="0.2">
      <c r="A60">
        <v>2018</v>
      </c>
      <c r="B60">
        <v>88</v>
      </c>
      <c r="D60">
        <v>28</v>
      </c>
      <c r="E60">
        <f t="shared" si="0"/>
        <v>116</v>
      </c>
      <c r="F60">
        <v>1087</v>
      </c>
      <c r="J60">
        <v>0</v>
      </c>
      <c r="K60">
        <v>0</v>
      </c>
      <c r="L60">
        <f t="shared" si="1"/>
        <v>0</v>
      </c>
    </row>
    <row r="61" spans="1:13" x14ac:dyDescent="0.2">
      <c r="A61">
        <v>2019</v>
      </c>
      <c r="B61">
        <v>79</v>
      </c>
      <c r="D61">
        <v>20</v>
      </c>
      <c r="E61">
        <f t="shared" si="0"/>
        <v>99</v>
      </c>
      <c r="F61">
        <v>1589</v>
      </c>
      <c r="J61">
        <v>32</v>
      </c>
      <c r="K61">
        <v>5</v>
      </c>
      <c r="L61">
        <f t="shared" si="1"/>
        <v>37</v>
      </c>
    </row>
    <row r="62" spans="1:13" x14ac:dyDescent="0.2">
      <c r="A62">
        <v>2020</v>
      </c>
      <c r="B62">
        <v>182</v>
      </c>
      <c r="D62">
        <v>21</v>
      </c>
      <c r="E62">
        <f t="shared" si="0"/>
        <v>203</v>
      </c>
      <c r="F62">
        <v>1327</v>
      </c>
      <c r="J62">
        <v>22</v>
      </c>
      <c r="K62">
        <v>0</v>
      </c>
      <c r="L62">
        <v>22</v>
      </c>
    </row>
    <row r="63" spans="1:13" x14ac:dyDescent="0.2">
      <c r="A63">
        <v>2021</v>
      </c>
      <c r="B63">
        <v>340</v>
      </c>
      <c r="D63">
        <v>10</v>
      </c>
      <c r="E63">
        <f t="shared" si="0"/>
        <v>350</v>
      </c>
      <c r="F63">
        <v>1401</v>
      </c>
      <c r="J63">
        <v>42</v>
      </c>
      <c r="K63">
        <v>0</v>
      </c>
      <c r="L63">
        <v>42</v>
      </c>
    </row>
    <row r="64" spans="1:13" x14ac:dyDescent="0.2">
      <c r="A64">
        <v>2022</v>
      </c>
      <c r="B64">
        <v>112</v>
      </c>
      <c r="D64">
        <v>12</v>
      </c>
      <c r="E64">
        <f t="shared" si="0"/>
        <v>124</v>
      </c>
      <c r="F64">
        <v>941</v>
      </c>
      <c r="G64">
        <v>3365</v>
      </c>
      <c r="H64">
        <v>2658</v>
      </c>
      <c r="I64">
        <v>4072</v>
      </c>
      <c r="J64">
        <v>14</v>
      </c>
      <c r="K64">
        <v>0</v>
      </c>
      <c r="L64">
        <v>14</v>
      </c>
      <c r="M64">
        <f>L64/G64</f>
        <v>4.1604754829123328E-3</v>
      </c>
    </row>
    <row r="65" spans="1:12" x14ac:dyDescent="0.2">
      <c r="A65">
        <v>2023</v>
      </c>
      <c r="B65">
        <v>167</v>
      </c>
      <c r="D65">
        <v>7</v>
      </c>
      <c r="E65">
        <f t="shared" si="0"/>
        <v>174</v>
      </c>
      <c r="F65">
        <v>1064</v>
      </c>
      <c r="J65">
        <v>22</v>
      </c>
      <c r="K65">
        <v>0</v>
      </c>
      <c r="L65">
        <v>22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5CE5F-D301-4195-B834-E63361EBD08C}">
  <dimension ref="A1:P65"/>
  <sheetViews>
    <sheetView topLeftCell="A36" workbookViewId="0">
      <selection activeCell="L71" sqref="L71"/>
    </sheetView>
  </sheetViews>
  <sheetFormatPr baseColWidth="10" defaultColWidth="8.83203125" defaultRowHeight="15" x14ac:dyDescent="0.2"/>
  <cols>
    <col min="16" max="16" width="19.83203125" customWidth="1"/>
  </cols>
  <sheetData>
    <row r="1" spans="1:16" x14ac:dyDescent="0.2">
      <c r="A1" t="s">
        <v>50</v>
      </c>
      <c r="B1" t="s">
        <v>51</v>
      </c>
      <c r="C1" t="s">
        <v>52</v>
      </c>
      <c r="D1" t="s">
        <v>53</v>
      </c>
      <c r="E1" t="s">
        <v>60</v>
      </c>
      <c r="F1" t="s">
        <v>58</v>
      </c>
      <c r="G1" t="s">
        <v>63</v>
      </c>
      <c r="H1" t="s">
        <v>59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</row>
    <row r="2" spans="1:16" x14ac:dyDescent="0.2">
      <c r="A2">
        <v>1960</v>
      </c>
    </row>
    <row r="3" spans="1:16" x14ac:dyDescent="0.2">
      <c r="A3">
        <v>1961</v>
      </c>
      <c r="B3">
        <v>23339</v>
      </c>
      <c r="E3">
        <f>SUM(B3:D3)</f>
        <v>23339</v>
      </c>
    </row>
    <row r="4" spans="1:16" x14ac:dyDescent="0.2">
      <c r="A4">
        <v>1962</v>
      </c>
    </row>
    <row r="5" spans="1:16" x14ac:dyDescent="0.2">
      <c r="A5">
        <v>1963</v>
      </c>
      <c r="B5">
        <v>6055</v>
      </c>
      <c r="E5">
        <f t="shared" ref="E5:E65" si="0">SUM(B5:D5)</f>
        <v>6055</v>
      </c>
    </row>
    <row r="6" spans="1:16" x14ac:dyDescent="0.2">
      <c r="A6">
        <v>1964</v>
      </c>
      <c r="B6">
        <v>14128</v>
      </c>
      <c r="E6">
        <f t="shared" si="0"/>
        <v>14128</v>
      </c>
    </row>
    <row r="7" spans="1:16" x14ac:dyDescent="0.2">
      <c r="A7">
        <v>1965</v>
      </c>
      <c r="B7">
        <v>28487</v>
      </c>
      <c r="E7">
        <f t="shared" si="0"/>
        <v>28487</v>
      </c>
    </row>
    <row r="8" spans="1:16" x14ac:dyDescent="0.2">
      <c r="A8">
        <v>1966</v>
      </c>
      <c r="B8">
        <v>29091</v>
      </c>
      <c r="E8">
        <f t="shared" si="0"/>
        <v>29091</v>
      </c>
    </row>
    <row r="9" spans="1:16" x14ac:dyDescent="0.2">
      <c r="A9">
        <v>1967</v>
      </c>
      <c r="B9">
        <v>11108</v>
      </c>
      <c r="E9">
        <f t="shared" si="0"/>
        <v>11108</v>
      </c>
    </row>
    <row r="10" spans="1:16" x14ac:dyDescent="0.2">
      <c r="A10">
        <v>1968</v>
      </c>
      <c r="B10">
        <v>26918</v>
      </c>
      <c r="E10">
        <f t="shared" si="0"/>
        <v>26918</v>
      </c>
    </row>
    <row r="11" spans="1:16" x14ac:dyDescent="0.2">
      <c r="A11">
        <v>1969</v>
      </c>
      <c r="B11">
        <v>29259</v>
      </c>
      <c r="E11">
        <f t="shared" si="0"/>
        <v>29259</v>
      </c>
    </row>
    <row r="12" spans="1:16" x14ac:dyDescent="0.2">
      <c r="A12">
        <v>1970</v>
      </c>
      <c r="B12">
        <v>22654</v>
      </c>
      <c r="E12">
        <f t="shared" si="0"/>
        <v>22654</v>
      </c>
    </row>
    <row r="13" spans="1:16" x14ac:dyDescent="0.2">
      <c r="A13">
        <v>1971</v>
      </c>
      <c r="B13">
        <v>25314</v>
      </c>
      <c r="E13">
        <f t="shared" si="0"/>
        <v>25314</v>
      </c>
    </row>
    <row r="14" spans="1:16" x14ac:dyDescent="0.2">
      <c r="A14">
        <v>1972</v>
      </c>
      <c r="B14">
        <v>18717</v>
      </c>
      <c r="E14">
        <f t="shared" si="0"/>
        <v>18717</v>
      </c>
    </row>
    <row r="15" spans="1:16" x14ac:dyDescent="0.2">
      <c r="A15">
        <v>1973</v>
      </c>
      <c r="B15">
        <v>26523</v>
      </c>
      <c r="E15">
        <f t="shared" si="0"/>
        <v>26523</v>
      </c>
    </row>
    <row r="16" spans="1:16" x14ac:dyDescent="0.2">
      <c r="A16">
        <v>1974</v>
      </c>
      <c r="B16">
        <v>16747</v>
      </c>
      <c r="E16">
        <f t="shared" si="0"/>
        <v>16747</v>
      </c>
    </row>
    <row r="17" spans="1:8" x14ac:dyDescent="0.2">
      <c r="A17">
        <v>1975</v>
      </c>
      <c r="B17">
        <v>13842</v>
      </c>
      <c r="E17">
        <f t="shared" si="0"/>
        <v>13842</v>
      </c>
    </row>
    <row r="18" spans="1:8" x14ac:dyDescent="0.2">
      <c r="A18">
        <v>1976</v>
      </c>
      <c r="B18">
        <v>19741</v>
      </c>
      <c r="D18">
        <v>51</v>
      </c>
      <c r="E18">
        <f t="shared" si="0"/>
        <v>19792</v>
      </c>
      <c r="F18">
        <v>4000</v>
      </c>
      <c r="G18">
        <v>600</v>
      </c>
      <c r="H18">
        <v>4600</v>
      </c>
    </row>
    <row r="19" spans="1:8" x14ac:dyDescent="0.2">
      <c r="A19">
        <v>1977</v>
      </c>
      <c r="B19">
        <v>40780</v>
      </c>
      <c r="D19">
        <v>113</v>
      </c>
      <c r="E19">
        <f t="shared" si="0"/>
        <v>40893</v>
      </c>
      <c r="F19">
        <v>10000</v>
      </c>
      <c r="G19">
        <v>500</v>
      </c>
      <c r="H19">
        <v>10500</v>
      </c>
    </row>
    <row r="20" spans="1:8" x14ac:dyDescent="0.2">
      <c r="A20">
        <v>1978</v>
      </c>
      <c r="B20">
        <v>50580</v>
      </c>
      <c r="E20">
        <f t="shared" si="0"/>
        <v>50580</v>
      </c>
      <c r="F20">
        <v>8000</v>
      </c>
      <c r="G20">
        <v>500</v>
      </c>
      <c r="H20">
        <v>8500</v>
      </c>
    </row>
    <row r="21" spans="1:8" x14ac:dyDescent="0.2">
      <c r="A21">
        <v>1979</v>
      </c>
      <c r="B21">
        <v>41449</v>
      </c>
      <c r="D21">
        <v>35</v>
      </c>
      <c r="E21">
        <f t="shared" si="0"/>
        <v>41484</v>
      </c>
      <c r="F21">
        <v>7000</v>
      </c>
      <c r="G21">
        <v>750</v>
      </c>
      <c r="H21">
        <v>7750</v>
      </c>
    </row>
    <row r="22" spans="1:8" x14ac:dyDescent="0.2">
      <c r="A22">
        <v>1980</v>
      </c>
      <c r="B22">
        <v>25522</v>
      </c>
      <c r="D22">
        <v>41</v>
      </c>
      <c r="E22">
        <f t="shared" si="0"/>
        <v>25563</v>
      </c>
      <c r="F22">
        <v>800</v>
      </c>
      <c r="G22">
        <v>600</v>
      </c>
      <c r="H22">
        <v>1400</v>
      </c>
    </row>
    <row r="23" spans="1:8" x14ac:dyDescent="0.2">
      <c r="A23">
        <v>1981</v>
      </c>
      <c r="B23">
        <v>23641</v>
      </c>
      <c r="D23">
        <v>50</v>
      </c>
      <c r="E23">
        <f t="shared" si="0"/>
        <v>23691</v>
      </c>
      <c r="F23">
        <v>2000</v>
      </c>
      <c r="G23">
        <v>808</v>
      </c>
      <c r="H23">
        <v>2808</v>
      </c>
    </row>
    <row r="24" spans="1:8" x14ac:dyDescent="0.2">
      <c r="A24">
        <v>1982</v>
      </c>
      <c r="B24">
        <v>27443</v>
      </c>
      <c r="D24">
        <v>75</v>
      </c>
      <c r="E24">
        <f t="shared" si="0"/>
        <v>27518</v>
      </c>
      <c r="F24">
        <v>5000</v>
      </c>
      <c r="G24">
        <v>755</v>
      </c>
      <c r="H24">
        <v>5755</v>
      </c>
    </row>
    <row r="25" spans="1:8" x14ac:dyDescent="0.2">
      <c r="A25">
        <v>1983</v>
      </c>
      <c r="B25">
        <v>18293</v>
      </c>
      <c r="D25">
        <v>25</v>
      </c>
      <c r="E25">
        <f t="shared" si="0"/>
        <v>18318</v>
      </c>
      <c r="F25">
        <v>2550</v>
      </c>
      <c r="G25">
        <v>732</v>
      </c>
      <c r="H25">
        <v>3282</v>
      </c>
    </row>
    <row r="26" spans="1:8" x14ac:dyDescent="0.2">
      <c r="A26">
        <v>1984</v>
      </c>
      <c r="B26">
        <v>14326</v>
      </c>
      <c r="E26">
        <f t="shared" si="0"/>
        <v>14326</v>
      </c>
      <c r="F26">
        <v>2600</v>
      </c>
      <c r="G26">
        <v>289</v>
      </c>
      <c r="H26">
        <v>2889</v>
      </c>
    </row>
    <row r="27" spans="1:8" x14ac:dyDescent="0.2">
      <c r="A27">
        <v>1985</v>
      </c>
      <c r="B27">
        <v>5792</v>
      </c>
      <c r="D27">
        <v>95</v>
      </c>
      <c r="E27">
        <f t="shared" si="0"/>
        <v>5887</v>
      </c>
      <c r="F27">
        <v>1361</v>
      </c>
      <c r="G27">
        <v>100</v>
      </c>
      <c r="H27">
        <v>1461</v>
      </c>
    </row>
    <row r="28" spans="1:8" x14ac:dyDescent="0.2">
      <c r="A28">
        <v>1986</v>
      </c>
      <c r="B28">
        <v>24791</v>
      </c>
      <c r="D28">
        <v>241</v>
      </c>
      <c r="E28">
        <f t="shared" si="0"/>
        <v>25032</v>
      </c>
      <c r="F28">
        <v>1914</v>
      </c>
      <c r="G28">
        <v>307</v>
      </c>
      <c r="H28">
        <v>2221</v>
      </c>
    </row>
    <row r="29" spans="1:8" x14ac:dyDescent="0.2">
      <c r="A29">
        <v>1987</v>
      </c>
      <c r="B29">
        <v>11393</v>
      </c>
      <c r="D29">
        <v>173</v>
      </c>
      <c r="E29">
        <f t="shared" si="0"/>
        <v>11566</v>
      </c>
      <c r="F29">
        <v>1158</v>
      </c>
      <c r="G29">
        <v>383</v>
      </c>
      <c r="H29">
        <v>1541</v>
      </c>
    </row>
    <row r="30" spans="1:8" x14ac:dyDescent="0.2">
      <c r="A30">
        <v>1988</v>
      </c>
      <c r="B30">
        <v>6286</v>
      </c>
      <c r="D30">
        <v>148</v>
      </c>
      <c r="E30">
        <f t="shared" si="0"/>
        <v>6434</v>
      </c>
      <c r="F30">
        <v>1604</v>
      </c>
      <c r="G30">
        <v>322</v>
      </c>
      <c r="H30">
        <v>1926</v>
      </c>
    </row>
    <row r="31" spans="1:8" x14ac:dyDescent="0.2">
      <c r="A31">
        <v>1989</v>
      </c>
      <c r="B31">
        <v>13513</v>
      </c>
      <c r="D31">
        <v>131</v>
      </c>
      <c r="E31">
        <f t="shared" si="0"/>
        <v>13644</v>
      </c>
      <c r="F31">
        <v>1851</v>
      </c>
      <c r="G31">
        <v>319</v>
      </c>
      <c r="H31">
        <v>2170</v>
      </c>
    </row>
    <row r="32" spans="1:8" x14ac:dyDescent="0.2">
      <c r="A32">
        <v>1990</v>
      </c>
      <c r="B32">
        <v>17013</v>
      </c>
      <c r="D32">
        <v>144</v>
      </c>
      <c r="E32">
        <f t="shared" si="0"/>
        <v>17157</v>
      </c>
      <c r="F32">
        <v>2314</v>
      </c>
      <c r="G32">
        <v>392</v>
      </c>
      <c r="H32">
        <v>2706</v>
      </c>
    </row>
    <row r="33" spans="1:16" x14ac:dyDescent="0.2">
      <c r="A33">
        <v>1991</v>
      </c>
      <c r="B33">
        <v>17542</v>
      </c>
      <c r="D33">
        <v>104</v>
      </c>
      <c r="E33">
        <f t="shared" si="0"/>
        <v>17646</v>
      </c>
      <c r="F33">
        <v>2111</v>
      </c>
      <c r="G33">
        <v>303</v>
      </c>
      <c r="H33">
        <v>2414</v>
      </c>
    </row>
    <row r="34" spans="1:16" x14ac:dyDescent="0.2">
      <c r="A34">
        <v>1992</v>
      </c>
      <c r="B34">
        <v>19298</v>
      </c>
      <c r="D34">
        <v>37</v>
      </c>
      <c r="E34">
        <f t="shared" si="0"/>
        <v>19335</v>
      </c>
      <c r="F34">
        <v>2592</v>
      </c>
      <c r="G34">
        <v>582</v>
      </c>
      <c r="H34">
        <v>3174</v>
      </c>
    </row>
    <row r="35" spans="1:16" x14ac:dyDescent="0.2">
      <c r="A35">
        <v>1993</v>
      </c>
      <c r="B35">
        <v>20043</v>
      </c>
      <c r="D35">
        <v>96</v>
      </c>
      <c r="E35">
        <f t="shared" si="0"/>
        <v>20139</v>
      </c>
      <c r="F35">
        <v>2361</v>
      </c>
      <c r="G35">
        <v>329</v>
      </c>
      <c r="H35">
        <v>2690</v>
      </c>
    </row>
    <row r="36" spans="1:16" x14ac:dyDescent="0.2">
      <c r="A36">
        <v>1994</v>
      </c>
      <c r="B36">
        <v>19639</v>
      </c>
      <c r="D36">
        <v>47</v>
      </c>
      <c r="E36">
        <f t="shared" si="0"/>
        <v>19686</v>
      </c>
      <c r="F36">
        <v>1745</v>
      </c>
      <c r="G36">
        <v>261</v>
      </c>
      <c r="H36">
        <v>2006</v>
      </c>
    </row>
    <row r="37" spans="1:16" x14ac:dyDescent="0.2">
      <c r="A37">
        <v>1995</v>
      </c>
      <c r="B37">
        <v>33112</v>
      </c>
      <c r="D37">
        <v>167</v>
      </c>
      <c r="E37">
        <f t="shared" si="0"/>
        <v>33279</v>
      </c>
      <c r="F37">
        <v>1745</v>
      </c>
      <c r="G37">
        <v>682</v>
      </c>
      <c r="H37">
        <v>2427</v>
      </c>
    </row>
    <row r="38" spans="1:16" x14ac:dyDescent="0.2">
      <c r="A38">
        <v>1996</v>
      </c>
      <c r="B38">
        <v>15182</v>
      </c>
      <c r="D38">
        <v>67</v>
      </c>
      <c r="E38">
        <f t="shared" si="0"/>
        <v>15249</v>
      </c>
      <c r="F38">
        <v>1204</v>
      </c>
      <c r="G38">
        <v>157</v>
      </c>
      <c r="H38">
        <v>1361</v>
      </c>
    </row>
    <row r="39" spans="1:16" x14ac:dyDescent="0.2">
      <c r="A39">
        <v>1997</v>
      </c>
      <c r="B39">
        <v>25879</v>
      </c>
      <c r="D39">
        <v>273</v>
      </c>
      <c r="E39">
        <f t="shared" si="0"/>
        <v>26152</v>
      </c>
      <c r="F39">
        <v>484</v>
      </c>
      <c r="G39">
        <v>36</v>
      </c>
      <c r="H39">
        <v>520</v>
      </c>
    </row>
    <row r="40" spans="1:16" x14ac:dyDescent="0.2">
      <c r="A40">
        <v>1998</v>
      </c>
      <c r="B40">
        <v>15007</v>
      </c>
      <c r="D40">
        <v>158</v>
      </c>
      <c r="E40">
        <f t="shared" si="0"/>
        <v>15165</v>
      </c>
      <c r="F40">
        <v>567</v>
      </c>
      <c r="G40">
        <v>18</v>
      </c>
      <c r="H40">
        <v>585</v>
      </c>
    </row>
    <row r="41" spans="1:16" x14ac:dyDescent="0.2">
      <c r="A41">
        <v>1999</v>
      </c>
      <c r="B41">
        <v>11441</v>
      </c>
      <c r="D41">
        <v>152</v>
      </c>
      <c r="E41">
        <f t="shared" si="0"/>
        <v>11593</v>
      </c>
      <c r="F41">
        <v>554</v>
      </c>
      <c r="G41">
        <v>0</v>
      </c>
      <c r="H41">
        <v>554</v>
      </c>
    </row>
    <row r="42" spans="1:16" x14ac:dyDescent="0.2">
      <c r="A42">
        <v>2000</v>
      </c>
      <c r="B42">
        <v>9522</v>
      </c>
      <c r="D42">
        <v>146</v>
      </c>
      <c r="E42">
        <f t="shared" si="0"/>
        <v>9668</v>
      </c>
      <c r="F42">
        <v>745</v>
      </c>
      <c r="G42">
        <v>0</v>
      </c>
      <c r="H42">
        <v>745</v>
      </c>
      <c r="I42">
        <v>37887</v>
      </c>
      <c r="J42">
        <v>23410</v>
      </c>
      <c r="K42">
        <v>52365</v>
      </c>
      <c r="L42">
        <v>745</v>
      </c>
      <c r="M42">
        <v>37142</v>
      </c>
      <c r="N42">
        <v>9668</v>
      </c>
      <c r="O42">
        <v>47555</v>
      </c>
      <c r="P42" s="3">
        <v>0.14599999999999999</v>
      </c>
    </row>
    <row r="43" spans="1:16" x14ac:dyDescent="0.2">
      <c r="A43">
        <v>2001</v>
      </c>
      <c r="B43">
        <v>13995</v>
      </c>
      <c r="D43">
        <v>72</v>
      </c>
      <c r="E43">
        <f t="shared" si="0"/>
        <v>14067</v>
      </c>
      <c r="F43">
        <v>1173</v>
      </c>
      <c r="G43">
        <v>4</v>
      </c>
      <c r="H43">
        <v>1177</v>
      </c>
      <c r="I43">
        <v>31164</v>
      </c>
      <c r="J43">
        <v>23143</v>
      </c>
      <c r="K43">
        <v>39185</v>
      </c>
      <c r="L43">
        <v>1177</v>
      </c>
      <c r="M43">
        <v>29987</v>
      </c>
      <c r="N43">
        <v>14067</v>
      </c>
      <c r="O43">
        <v>45231</v>
      </c>
      <c r="P43" s="3">
        <v>0.311</v>
      </c>
    </row>
    <row r="44" spans="1:16" x14ac:dyDescent="0.2">
      <c r="A44">
        <v>2002</v>
      </c>
      <c r="B44">
        <v>16918</v>
      </c>
      <c r="D44">
        <v>232</v>
      </c>
      <c r="E44">
        <f t="shared" si="0"/>
        <v>17150</v>
      </c>
      <c r="F44">
        <v>2194</v>
      </c>
      <c r="G44">
        <v>61</v>
      </c>
      <c r="H44">
        <v>2255</v>
      </c>
      <c r="I44">
        <v>95427</v>
      </c>
      <c r="J44">
        <v>55893</v>
      </c>
      <c r="K44">
        <v>134961</v>
      </c>
      <c r="L44">
        <v>2255</v>
      </c>
      <c r="M44">
        <v>93172</v>
      </c>
      <c r="N44">
        <v>17150</v>
      </c>
      <c r="O44">
        <v>112577</v>
      </c>
      <c r="P44" s="3">
        <v>0.253</v>
      </c>
    </row>
    <row r="45" spans="1:16" x14ac:dyDescent="0.2">
      <c r="A45">
        <v>2003</v>
      </c>
      <c r="B45">
        <v>39698</v>
      </c>
      <c r="D45">
        <v>176</v>
      </c>
      <c r="E45">
        <f t="shared" si="0"/>
        <v>39874</v>
      </c>
      <c r="F45">
        <v>2734</v>
      </c>
      <c r="G45">
        <v>61</v>
      </c>
      <c r="H45">
        <v>2795</v>
      </c>
      <c r="I45">
        <v>103507</v>
      </c>
      <c r="J45">
        <v>74350</v>
      </c>
      <c r="K45">
        <v>132664</v>
      </c>
      <c r="L45">
        <v>2795</v>
      </c>
      <c r="M45">
        <v>100712</v>
      </c>
      <c r="N45">
        <v>39874</v>
      </c>
      <c r="O45">
        <v>143381</v>
      </c>
      <c r="P45" s="3">
        <v>0.31900000000000001</v>
      </c>
    </row>
    <row r="46" spans="1:16" x14ac:dyDescent="0.2">
      <c r="A46">
        <v>2004</v>
      </c>
      <c r="B46">
        <v>18030</v>
      </c>
      <c r="D46">
        <v>224</v>
      </c>
      <c r="E46">
        <f t="shared" si="0"/>
        <v>18254</v>
      </c>
      <c r="F46">
        <v>1875</v>
      </c>
      <c r="G46">
        <v>247</v>
      </c>
      <c r="H46">
        <v>2122</v>
      </c>
      <c r="I46">
        <v>83703</v>
      </c>
      <c r="J46">
        <v>39566</v>
      </c>
      <c r="K46">
        <v>127841</v>
      </c>
      <c r="L46">
        <v>2122</v>
      </c>
      <c r="M46">
        <v>81581</v>
      </c>
      <c r="N46">
        <v>18254</v>
      </c>
      <c r="O46">
        <v>101957</v>
      </c>
      <c r="P46" s="3">
        <v>0.16800000000000001</v>
      </c>
    </row>
    <row r="47" spans="1:16" x14ac:dyDescent="0.2">
      <c r="A47">
        <v>2005</v>
      </c>
      <c r="B47">
        <v>7572</v>
      </c>
      <c r="C47">
        <v>222</v>
      </c>
      <c r="D47">
        <v>63</v>
      </c>
      <c r="E47">
        <f t="shared" si="0"/>
        <v>7857</v>
      </c>
      <c r="F47">
        <v>581</v>
      </c>
      <c r="G47">
        <v>13</v>
      </c>
      <c r="H47">
        <v>594</v>
      </c>
      <c r="I47">
        <v>57817</v>
      </c>
      <c r="J47">
        <v>21907</v>
      </c>
      <c r="K47">
        <v>93727</v>
      </c>
      <c r="L47">
        <v>594</v>
      </c>
      <c r="M47">
        <v>57223</v>
      </c>
      <c r="N47">
        <v>7857</v>
      </c>
      <c r="O47">
        <v>65674</v>
      </c>
      <c r="P47" s="3">
        <v>5.5E-2</v>
      </c>
    </row>
    <row r="48" spans="1:16" x14ac:dyDescent="0.2">
      <c r="A48">
        <v>2006</v>
      </c>
      <c r="B48">
        <v>9842</v>
      </c>
      <c r="C48">
        <v>224</v>
      </c>
      <c r="D48">
        <v>272</v>
      </c>
      <c r="E48">
        <f t="shared" si="0"/>
        <v>10338</v>
      </c>
      <c r="F48">
        <v>1321</v>
      </c>
      <c r="G48">
        <v>6</v>
      </c>
      <c r="H48">
        <v>1327</v>
      </c>
      <c r="I48">
        <v>48901</v>
      </c>
      <c r="J48">
        <v>41234</v>
      </c>
      <c r="K48">
        <v>56569</v>
      </c>
      <c r="L48">
        <v>1327</v>
      </c>
      <c r="M48">
        <v>47574</v>
      </c>
      <c r="N48">
        <v>10338</v>
      </c>
      <c r="O48">
        <v>59239</v>
      </c>
      <c r="P48" s="3">
        <v>0.27100000000000002</v>
      </c>
    </row>
    <row r="49" spans="1:16" x14ac:dyDescent="0.2">
      <c r="A49">
        <v>2007</v>
      </c>
      <c r="B49">
        <v>19795</v>
      </c>
      <c r="C49">
        <v>367</v>
      </c>
      <c r="D49">
        <v>298</v>
      </c>
      <c r="E49">
        <f t="shared" si="0"/>
        <v>20460</v>
      </c>
      <c r="F49">
        <v>1330</v>
      </c>
      <c r="G49">
        <v>10</v>
      </c>
      <c r="H49">
        <v>1340</v>
      </c>
    </row>
    <row r="50" spans="1:16" x14ac:dyDescent="0.2">
      <c r="A50">
        <v>2008</v>
      </c>
      <c r="B50">
        <v>2815</v>
      </c>
      <c r="C50">
        <v>55</v>
      </c>
      <c r="D50">
        <v>200</v>
      </c>
      <c r="E50">
        <f t="shared" si="0"/>
        <v>3070</v>
      </c>
      <c r="F50">
        <v>0</v>
      </c>
      <c r="G50">
        <v>0</v>
      </c>
      <c r="H50">
        <v>0</v>
      </c>
    </row>
    <row r="51" spans="1:16" x14ac:dyDescent="0.2">
      <c r="A51">
        <v>2009</v>
      </c>
      <c r="B51">
        <v>12906</v>
      </c>
      <c r="D51">
        <v>252</v>
      </c>
      <c r="E51">
        <f t="shared" si="0"/>
        <v>13158</v>
      </c>
      <c r="F51">
        <v>715</v>
      </c>
      <c r="G51">
        <v>2</v>
      </c>
      <c r="H51">
        <v>717</v>
      </c>
    </row>
    <row r="52" spans="1:16" x14ac:dyDescent="0.2">
      <c r="A52">
        <v>2010</v>
      </c>
      <c r="B52">
        <v>12668</v>
      </c>
      <c r="D52">
        <v>249</v>
      </c>
      <c r="E52">
        <f t="shared" si="0"/>
        <v>12917</v>
      </c>
      <c r="F52">
        <v>1704</v>
      </c>
      <c r="G52">
        <v>12</v>
      </c>
      <c r="H52">
        <v>1716</v>
      </c>
    </row>
    <row r="53" spans="1:16" x14ac:dyDescent="0.2">
      <c r="A53">
        <v>2011</v>
      </c>
      <c r="B53">
        <v>24169</v>
      </c>
      <c r="C53">
        <v>157</v>
      </c>
      <c r="D53">
        <v>230</v>
      </c>
      <c r="E53">
        <f t="shared" si="0"/>
        <v>24556</v>
      </c>
      <c r="F53">
        <v>2053</v>
      </c>
      <c r="G53">
        <v>57</v>
      </c>
      <c r="H53">
        <v>2110</v>
      </c>
      <c r="I53">
        <v>86009</v>
      </c>
      <c r="J53">
        <v>72970</v>
      </c>
      <c r="K53">
        <v>99049</v>
      </c>
      <c r="L53">
        <v>2110</v>
      </c>
      <c r="M53">
        <v>83899</v>
      </c>
      <c r="N53">
        <v>24556</v>
      </c>
      <c r="O53">
        <v>110565</v>
      </c>
      <c r="P53" s="3">
        <v>0.248</v>
      </c>
    </row>
    <row r="54" spans="1:16" x14ac:dyDescent="0.2">
      <c r="A54">
        <v>2012</v>
      </c>
      <c r="B54">
        <v>18217</v>
      </c>
      <c r="C54">
        <v>90</v>
      </c>
      <c r="D54">
        <v>275</v>
      </c>
      <c r="E54">
        <f t="shared" si="0"/>
        <v>18582</v>
      </c>
      <c r="F54">
        <v>1734</v>
      </c>
      <c r="G54">
        <v>52</v>
      </c>
      <c r="H54">
        <v>1786</v>
      </c>
      <c r="I54">
        <v>78384</v>
      </c>
      <c r="J54">
        <v>64311</v>
      </c>
      <c r="K54">
        <v>92456</v>
      </c>
      <c r="L54">
        <v>1786</v>
      </c>
      <c r="M54">
        <v>76598</v>
      </c>
      <c r="N54">
        <v>18582</v>
      </c>
      <c r="O54">
        <v>96966</v>
      </c>
      <c r="P54" s="3">
        <v>0.224</v>
      </c>
    </row>
    <row r="55" spans="1:16" x14ac:dyDescent="0.2">
      <c r="A55">
        <v>2013</v>
      </c>
      <c r="B55">
        <v>7517</v>
      </c>
      <c r="D55">
        <v>147</v>
      </c>
      <c r="E55">
        <f t="shared" si="0"/>
        <v>7664</v>
      </c>
      <c r="F55">
        <v>508</v>
      </c>
      <c r="G55">
        <v>0</v>
      </c>
      <c r="H55">
        <v>508</v>
      </c>
      <c r="I55">
        <v>84279</v>
      </c>
      <c r="J55">
        <v>16466</v>
      </c>
      <c r="K55">
        <v>152091</v>
      </c>
      <c r="L55">
        <v>508</v>
      </c>
      <c r="M55">
        <v>83771</v>
      </c>
      <c r="N55">
        <v>7664</v>
      </c>
      <c r="O55">
        <v>91943</v>
      </c>
      <c r="P55" s="3">
        <v>4.4999999999999998E-2</v>
      </c>
    </row>
    <row r="56" spans="1:16" x14ac:dyDescent="0.2">
      <c r="A56">
        <v>2014</v>
      </c>
      <c r="B56">
        <v>33668</v>
      </c>
      <c r="D56">
        <v>147</v>
      </c>
      <c r="E56">
        <f t="shared" si="0"/>
        <v>33815</v>
      </c>
      <c r="F56">
        <v>1140</v>
      </c>
      <c r="G56">
        <v>0</v>
      </c>
      <c r="H56">
        <v>1140</v>
      </c>
      <c r="I56">
        <v>88233</v>
      </c>
      <c r="J56">
        <v>69508</v>
      </c>
      <c r="K56">
        <v>106958</v>
      </c>
      <c r="L56">
        <v>1140</v>
      </c>
      <c r="M56">
        <v>87093</v>
      </c>
      <c r="N56">
        <v>33847</v>
      </c>
      <c r="O56">
        <v>122080</v>
      </c>
      <c r="P56" s="3">
        <v>0.13900000000000001</v>
      </c>
    </row>
    <row r="57" spans="1:16" x14ac:dyDescent="0.2">
      <c r="A57">
        <v>2015</v>
      </c>
      <c r="B57">
        <v>16104</v>
      </c>
      <c r="D57">
        <v>163</v>
      </c>
      <c r="E57">
        <f t="shared" si="0"/>
        <v>16267</v>
      </c>
      <c r="F57">
        <v>1084</v>
      </c>
      <c r="G57">
        <v>0</v>
      </c>
      <c r="H57">
        <v>1084</v>
      </c>
      <c r="I57">
        <v>64793</v>
      </c>
      <c r="J57">
        <v>47474</v>
      </c>
      <c r="K57">
        <v>82111</v>
      </c>
      <c r="L57">
        <v>1084</v>
      </c>
      <c r="M57">
        <v>63709</v>
      </c>
      <c r="N57">
        <v>16267</v>
      </c>
      <c r="O57">
        <v>81060</v>
      </c>
      <c r="P57" s="3">
        <v>0.17799999999999999</v>
      </c>
    </row>
    <row r="58" spans="1:16" x14ac:dyDescent="0.2">
      <c r="A58">
        <v>2016</v>
      </c>
      <c r="B58">
        <v>6709</v>
      </c>
      <c r="D58">
        <v>181</v>
      </c>
      <c r="E58">
        <f t="shared" si="0"/>
        <v>6890</v>
      </c>
      <c r="F58">
        <v>815</v>
      </c>
      <c r="G58">
        <v>0</v>
      </c>
      <c r="H58">
        <v>815</v>
      </c>
      <c r="I58">
        <v>59651</v>
      </c>
      <c r="J58">
        <v>43558</v>
      </c>
      <c r="K58">
        <v>75743</v>
      </c>
      <c r="L58">
        <v>815</v>
      </c>
      <c r="M58">
        <v>58836</v>
      </c>
      <c r="N58">
        <v>6890</v>
      </c>
      <c r="O58">
        <v>66541</v>
      </c>
      <c r="P58" s="3">
        <v>0.126</v>
      </c>
    </row>
    <row r="59" spans="1:16" x14ac:dyDescent="0.2">
      <c r="A59">
        <v>2017</v>
      </c>
      <c r="B59">
        <v>4883</v>
      </c>
      <c r="D59">
        <v>125</v>
      </c>
      <c r="E59">
        <f t="shared" si="0"/>
        <v>5008</v>
      </c>
      <c r="F59">
        <v>584</v>
      </c>
      <c r="G59">
        <v>38</v>
      </c>
      <c r="H59">
        <v>622</v>
      </c>
      <c r="I59">
        <v>102186</v>
      </c>
      <c r="J59">
        <v>57832</v>
      </c>
      <c r="K59">
        <v>146540</v>
      </c>
      <c r="L59">
        <v>622</v>
      </c>
      <c r="M59">
        <v>101564</v>
      </c>
      <c r="N59">
        <v>5008</v>
      </c>
      <c r="O59">
        <v>107194</v>
      </c>
      <c r="P59" s="3">
        <v>3.6999999999999998E-2</v>
      </c>
    </row>
    <row r="60" spans="1:16" x14ac:dyDescent="0.2">
      <c r="A60">
        <v>2018</v>
      </c>
      <c r="B60">
        <v>1363</v>
      </c>
      <c r="D60">
        <v>142</v>
      </c>
      <c r="E60">
        <f t="shared" si="0"/>
        <v>1505</v>
      </c>
      <c r="F60">
        <v>0</v>
      </c>
      <c r="G60">
        <v>0</v>
      </c>
      <c r="H60">
        <v>0</v>
      </c>
      <c r="I60">
        <v>19928</v>
      </c>
      <c r="J60">
        <v>17086</v>
      </c>
      <c r="K60">
        <v>22770</v>
      </c>
      <c r="L60">
        <v>0</v>
      </c>
      <c r="M60">
        <v>19928</v>
      </c>
      <c r="N60">
        <v>1505</v>
      </c>
      <c r="O60">
        <v>21433</v>
      </c>
      <c r="P60" s="3">
        <v>0.35799999999999998</v>
      </c>
    </row>
    <row r="61" spans="1:16" x14ac:dyDescent="0.2">
      <c r="A61">
        <v>2019</v>
      </c>
      <c r="B61">
        <v>9787</v>
      </c>
      <c r="D61">
        <v>229</v>
      </c>
      <c r="E61">
        <f t="shared" si="0"/>
        <v>10016</v>
      </c>
      <c r="F61">
        <v>648</v>
      </c>
      <c r="G61">
        <v>5</v>
      </c>
      <c r="H61">
        <v>653</v>
      </c>
      <c r="I61">
        <v>82536</v>
      </c>
      <c r="J61">
        <v>69077</v>
      </c>
      <c r="K61">
        <v>95995</v>
      </c>
      <c r="L61">
        <v>653</v>
      </c>
      <c r="M61">
        <v>81883</v>
      </c>
      <c r="N61">
        <v>10016</v>
      </c>
      <c r="O61">
        <v>92552</v>
      </c>
      <c r="P61" s="3">
        <v>0.22900000000000001</v>
      </c>
    </row>
    <row r="62" spans="1:16" x14ac:dyDescent="0.2">
      <c r="A62">
        <v>2020</v>
      </c>
      <c r="B62">
        <v>2518</v>
      </c>
      <c r="D62">
        <v>188</v>
      </c>
      <c r="E62">
        <f t="shared" si="0"/>
        <v>2706</v>
      </c>
      <c r="F62">
        <v>218</v>
      </c>
      <c r="G62">
        <v>0</v>
      </c>
      <c r="H62">
        <v>218</v>
      </c>
      <c r="I62" s="1">
        <v>13289</v>
      </c>
      <c r="J62" s="1">
        <v>11618</v>
      </c>
      <c r="K62" s="1">
        <v>14960</v>
      </c>
      <c r="L62" s="1">
        <v>218</v>
      </c>
      <c r="M62" s="1">
        <v>13071</v>
      </c>
      <c r="N62" s="1">
        <v>2706</v>
      </c>
      <c r="O62" s="1">
        <v>15995</v>
      </c>
      <c r="P62" s="3">
        <v>0.32799999999999996</v>
      </c>
    </row>
    <row r="63" spans="1:16" x14ac:dyDescent="0.2">
      <c r="A63">
        <v>2021</v>
      </c>
      <c r="B63">
        <v>8877</v>
      </c>
      <c r="D63">
        <v>80</v>
      </c>
      <c r="E63">
        <f t="shared" si="0"/>
        <v>8957</v>
      </c>
      <c r="F63">
        <v>1512</v>
      </c>
      <c r="G63">
        <v>7</v>
      </c>
      <c r="H63">
        <v>1519</v>
      </c>
      <c r="I63" s="1">
        <v>101317</v>
      </c>
      <c r="J63" s="1">
        <v>83903</v>
      </c>
      <c r="K63" s="1">
        <v>118731</v>
      </c>
      <c r="L63" s="1">
        <v>1519</v>
      </c>
      <c r="M63" s="1">
        <v>99798</v>
      </c>
      <c r="N63" s="1">
        <v>8957</v>
      </c>
      <c r="O63" s="1">
        <v>110274</v>
      </c>
      <c r="P63" s="3">
        <v>0.25700000000000001</v>
      </c>
    </row>
    <row r="64" spans="1:16" x14ac:dyDescent="0.2">
      <c r="A64">
        <v>2022</v>
      </c>
      <c r="B64">
        <v>4693</v>
      </c>
      <c r="D64">
        <v>150</v>
      </c>
      <c r="E64">
        <f t="shared" si="0"/>
        <v>4843</v>
      </c>
      <c r="F64">
        <v>1722</v>
      </c>
      <c r="G64">
        <v>7</v>
      </c>
      <c r="H64">
        <v>1729</v>
      </c>
      <c r="I64" s="1">
        <v>136147</v>
      </c>
      <c r="J64" s="1">
        <v>124142</v>
      </c>
      <c r="K64" s="1">
        <v>148152</v>
      </c>
      <c r="L64" s="1">
        <v>1729</v>
      </c>
      <c r="M64" s="1">
        <v>134418</v>
      </c>
      <c r="N64" s="1">
        <v>4843</v>
      </c>
      <c r="O64" s="1">
        <v>140990</v>
      </c>
      <c r="P64" s="3">
        <v>0.22</v>
      </c>
    </row>
    <row r="65" spans="1:16" x14ac:dyDescent="0.2">
      <c r="A65">
        <v>2023</v>
      </c>
      <c r="B65">
        <v>2744</v>
      </c>
      <c r="D65">
        <v>133</v>
      </c>
      <c r="E65">
        <f t="shared" si="0"/>
        <v>2877</v>
      </c>
      <c r="F65">
        <v>880</v>
      </c>
      <c r="G65">
        <v>0</v>
      </c>
      <c r="H65">
        <v>880</v>
      </c>
      <c r="I65" s="1">
        <v>35607</v>
      </c>
      <c r="J65" s="1">
        <v>32646</v>
      </c>
      <c r="K65" s="1">
        <v>38568</v>
      </c>
      <c r="L65" s="1">
        <v>880</v>
      </c>
      <c r="M65" s="1">
        <v>34727</v>
      </c>
      <c r="N65" s="1">
        <v>2877</v>
      </c>
      <c r="O65" s="1">
        <v>38484</v>
      </c>
      <c r="P65" s="3">
        <v>0.39399999999999996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59F37-98AC-4725-AA3E-509A2FEEE780}">
  <dimension ref="A1:F65"/>
  <sheetViews>
    <sheetView workbookViewId="0">
      <selection activeCell="N68" sqref="N68"/>
    </sheetView>
  </sheetViews>
  <sheetFormatPr baseColWidth="10" defaultColWidth="8.83203125" defaultRowHeight="15" x14ac:dyDescent="0.2"/>
  <sheetData>
    <row r="1" spans="1:6" x14ac:dyDescent="0.2">
      <c r="A1" t="s">
        <v>50</v>
      </c>
      <c r="B1" t="s">
        <v>15</v>
      </c>
      <c r="C1" t="s">
        <v>72</v>
      </c>
      <c r="D1" t="s">
        <v>12</v>
      </c>
      <c r="E1" t="s">
        <v>73</v>
      </c>
      <c r="F1" t="s">
        <v>74</v>
      </c>
    </row>
    <row r="2" spans="1:6" x14ac:dyDescent="0.2">
      <c r="A2">
        <v>1960</v>
      </c>
    </row>
    <row r="3" spans="1:6" x14ac:dyDescent="0.2">
      <c r="A3">
        <v>1961</v>
      </c>
      <c r="B3">
        <v>7679</v>
      </c>
      <c r="C3">
        <v>84</v>
      </c>
      <c r="D3">
        <v>86</v>
      </c>
      <c r="F3">
        <v>1436</v>
      </c>
    </row>
    <row r="4" spans="1:6" x14ac:dyDescent="0.2">
      <c r="A4">
        <v>1962</v>
      </c>
    </row>
    <row r="5" spans="1:6" x14ac:dyDescent="0.2">
      <c r="A5">
        <v>1963</v>
      </c>
      <c r="B5">
        <v>7164</v>
      </c>
      <c r="C5">
        <v>42</v>
      </c>
      <c r="D5">
        <v>34</v>
      </c>
      <c r="F5">
        <v>692</v>
      </c>
    </row>
    <row r="6" spans="1:6" x14ac:dyDescent="0.2">
      <c r="A6">
        <v>1964</v>
      </c>
      <c r="B6">
        <v>9760</v>
      </c>
      <c r="C6">
        <v>144</v>
      </c>
      <c r="D6">
        <v>367</v>
      </c>
      <c r="F6">
        <v>592</v>
      </c>
    </row>
    <row r="7" spans="1:6" x14ac:dyDescent="0.2">
      <c r="A7">
        <v>1965</v>
      </c>
      <c r="B7">
        <v>9638</v>
      </c>
      <c r="C7">
        <v>10</v>
      </c>
      <c r="D7">
        <v>72</v>
      </c>
      <c r="F7">
        <v>1016</v>
      </c>
    </row>
    <row r="8" spans="1:6" x14ac:dyDescent="0.2">
      <c r="A8">
        <v>1966</v>
      </c>
      <c r="B8">
        <v>2688</v>
      </c>
      <c r="C8">
        <v>22</v>
      </c>
      <c r="D8">
        <v>240</v>
      </c>
      <c r="F8">
        <v>500</v>
      </c>
    </row>
    <row r="9" spans="1:6" x14ac:dyDescent="0.2">
      <c r="A9">
        <v>1967</v>
      </c>
      <c r="B9">
        <v>10090</v>
      </c>
      <c r="C9">
        <v>107</v>
      </c>
      <c r="D9">
        <v>30</v>
      </c>
      <c r="F9">
        <v>600</v>
      </c>
    </row>
    <row r="10" spans="1:6" x14ac:dyDescent="0.2">
      <c r="A10">
        <v>1968</v>
      </c>
      <c r="B10">
        <v>10586</v>
      </c>
      <c r="C10">
        <v>82</v>
      </c>
      <c r="D10">
        <v>240</v>
      </c>
      <c r="F10">
        <v>664</v>
      </c>
    </row>
    <row r="11" spans="1:6" x14ac:dyDescent="0.2">
      <c r="A11">
        <v>1969</v>
      </c>
      <c r="B11">
        <v>2493</v>
      </c>
      <c r="C11">
        <v>38</v>
      </c>
      <c r="D11">
        <v>61</v>
      </c>
      <c r="F11">
        <v>807</v>
      </c>
    </row>
    <row r="12" spans="1:6" x14ac:dyDescent="0.2">
      <c r="A12">
        <v>1970</v>
      </c>
      <c r="B12">
        <v>2188</v>
      </c>
      <c r="C12">
        <v>6</v>
      </c>
      <c r="D12">
        <v>26</v>
      </c>
      <c r="F12">
        <v>670</v>
      </c>
    </row>
    <row r="13" spans="1:6" x14ac:dyDescent="0.2">
      <c r="A13">
        <v>1971</v>
      </c>
      <c r="B13">
        <v>4730</v>
      </c>
      <c r="C13">
        <v>3</v>
      </c>
      <c r="D13">
        <v>120</v>
      </c>
      <c r="F13">
        <v>794</v>
      </c>
    </row>
    <row r="14" spans="1:6" x14ac:dyDescent="0.2">
      <c r="A14">
        <v>1972</v>
      </c>
      <c r="B14">
        <v>7296</v>
      </c>
      <c r="C14">
        <v>37</v>
      </c>
      <c r="D14">
        <v>280</v>
      </c>
      <c r="F14">
        <v>640</v>
      </c>
    </row>
    <row r="15" spans="1:6" x14ac:dyDescent="0.2">
      <c r="A15">
        <v>1973</v>
      </c>
      <c r="B15">
        <v>4395</v>
      </c>
      <c r="C15">
        <v>26</v>
      </c>
      <c r="D15">
        <v>283</v>
      </c>
      <c r="F15">
        <v>894</v>
      </c>
    </row>
    <row r="16" spans="1:6" x14ac:dyDescent="0.2">
      <c r="A16">
        <v>1974</v>
      </c>
      <c r="B16">
        <v>7046</v>
      </c>
      <c r="C16">
        <v>13</v>
      </c>
      <c r="D16">
        <v>107</v>
      </c>
      <c r="F16">
        <v>699</v>
      </c>
    </row>
    <row r="17" spans="1:6" x14ac:dyDescent="0.2">
      <c r="A17">
        <v>1975</v>
      </c>
      <c r="B17">
        <v>2230</v>
      </c>
      <c r="C17">
        <v>16</v>
      </c>
      <c r="D17">
        <v>261</v>
      </c>
      <c r="F17">
        <v>738</v>
      </c>
    </row>
    <row r="18" spans="1:6" x14ac:dyDescent="0.2">
      <c r="A18">
        <v>1976</v>
      </c>
      <c r="B18">
        <v>4883</v>
      </c>
      <c r="C18">
        <v>0</v>
      </c>
      <c r="D18">
        <v>368</v>
      </c>
      <c r="E18">
        <v>5</v>
      </c>
      <c r="F18">
        <v>550</v>
      </c>
    </row>
    <row r="19" spans="1:6" x14ac:dyDescent="0.2">
      <c r="A19">
        <v>1977</v>
      </c>
      <c r="B19">
        <v>11817</v>
      </c>
      <c r="C19">
        <v>689</v>
      </c>
      <c r="D19">
        <v>483</v>
      </c>
      <c r="E19">
        <v>0</v>
      </c>
      <c r="F19">
        <v>882</v>
      </c>
    </row>
    <row r="20" spans="1:6" x14ac:dyDescent="0.2">
      <c r="A20">
        <v>1978</v>
      </c>
      <c r="B20">
        <v>13913</v>
      </c>
      <c r="C20">
        <v>59</v>
      </c>
      <c r="D20">
        <v>233</v>
      </c>
      <c r="F20">
        <v>929</v>
      </c>
    </row>
    <row r="21" spans="1:6" x14ac:dyDescent="0.2">
      <c r="A21">
        <v>1979</v>
      </c>
      <c r="B21">
        <v>6158</v>
      </c>
      <c r="C21">
        <v>142</v>
      </c>
      <c r="D21">
        <v>263</v>
      </c>
      <c r="E21">
        <v>70</v>
      </c>
      <c r="F21">
        <v>1110</v>
      </c>
    </row>
    <row r="22" spans="1:6" x14ac:dyDescent="0.2">
      <c r="A22">
        <v>1980</v>
      </c>
      <c r="B22">
        <v>7863</v>
      </c>
      <c r="C22">
        <v>21</v>
      </c>
      <c r="D22">
        <v>1005</v>
      </c>
      <c r="E22">
        <v>62</v>
      </c>
      <c r="F22">
        <v>773</v>
      </c>
    </row>
    <row r="23" spans="1:6" x14ac:dyDescent="0.2">
      <c r="A23">
        <v>1981</v>
      </c>
      <c r="B23">
        <v>10232</v>
      </c>
      <c r="C23">
        <v>65</v>
      </c>
      <c r="D23">
        <v>816</v>
      </c>
      <c r="E23">
        <v>74</v>
      </c>
      <c r="F23">
        <v>588</v>
      </c>
    </row>
    <row r="24" spans="1:6" x14ac:dyDescent="0.2">
      <c r="A24">
        <v>1982</v>
      </c>
      <c r="B24">
        <v>6534</v>
      </c>
      <c r="C24">
        <v>6</v>
      </c>
      <c r="D24">
        <v>358</v>
      </c>
      <c r="E24">
        <v>50</v>
      </c>
      <c r="F24">
        <v>552</v>
      </c>
    </row>
    <row r="25" spans="1:6" x14ac:dyDescent="0.2">
      <c r="A25">
        <v>1983</v>
      </c>
      <c r="B25">
        <v>5253</v>
      </c>
      <c r="C25">
        <v>20</v>
      </c>
      <c r="D25">
        <v>432</v>
      </c>
      <c r="E25">
        <v>50</v>
      </c>
      <c r="F25">
        <v>487</v>
      </c>
    </row>
    <row r="26" spans="1:6" x14ac:dyDescent="0.2">
      <c r="A26">
        <v>1984</v>
      </c>
      <c r="B26">
        <v>7868</v>
      </c>
      <c r="C26">
        <v>24</v>
      </c>
      <c r="D26">
        <v>1610</v>
      </c>
      <c r="F26">
        <v>429</v>
      </c>
    </row>
    <row r="27" spans="1:6" x14ac:dyDescent="0.2">
      <c r="A27">
        <v>1985</v>
      </c>
      <c r="B27">
        <v>5490</v>
      </c>
      <c r="C27">
        <v>3</v>
      </c>
      <c r="D27">
        <v>427</v>
      </c>
      <c r="E27">
        <v>0</v>
      </c>
      <c r="F27">
        <v>277</v>
      </c>
    </row>
    <row r="28" spans="1:6" x14ac:dyDescent="0.2">
      <c r="A28">
        <v>1986</v>
      </c>
      <c r="B28">
        <v>1344</v>
      </c>
      <c r="C28">
        <v>13</v>
      </c>
      <c r="D28">
        <v>462</v>
      </c>
      <c r="E28">
        <v>45</v>
      </c>
      <c r="F28">
        <v>517</v>
      </c>
    </row>
    <row r="29" spans="1:6" x14ac:dyDescent="0.2">
      <c r="A29">
        <v>1987</v>
      </c>
      <c r="B29">
        <v>2517</v>
      </c>
      <c r="C29">
        <v>0</v>
      </c>
      <c r="D29">
        <v>1924</v>
      </c>
      <c r="E29">
        <v>31</v>
      </c>
      <c r="F29">
        <v>388</v>
      </c>
    </row>
    <row r="30" spans="1:6" x14ac:dyDescent="0.2">
      <c r="A30">
        <v>1988</v>
      </c>
      <c r="B30">
        <v>4986</v>
      </c>
      <c r="C30">
        <v>7</v>
      </c>
      <c r="D30">
        <v>908</v>
      </c>
      <c r="E30">
        <v>9</v>
      </c>
      <c r="F30">
        <v>324</v>
      </c>
    </row>
    <row r="31" spans="1:6" x14ac:dyDescent="0.2">
      <c r="A31">
        <v>1989</v>
      </c>
      <c r="B31">
        <v>5972</v>
      </c>
      <c r="C31">
        <v>2</v>
      </c>
      <c r="D31">
        <v>1031</v>
      </c>
      <c r="E31">
        <v>34</v>
      </c>
      <c r="F31">
        <v>378</v>
      </c>
    </row>
    <row r="32" spans="1:6" x14ac:dyDescent="0.2">
      <c r="A32">
        <v>1990</v>
      </c>
      <c r="B32">
        <v>1437</v>
      </c>
      <c r="C32">
        <v>0</v>
      </c>
      <c r="D32">
        <v>495</v>
      </c>
      <c r="E32">
        <v>12</v>
      </c>
      <c r="F32">
        <v>374</v>
      </c>
    </row>
    <row r="33" spans="1:6" x14ac:dyDescent="0.2">
      <c r="A33">
        <v>1991</v>
      </c>
      <c r="B33">
        <v>5956</v>
      </c>
      <c r="C33">
        <v>0</v>
      </c>
      <c r="D33">
        <v>105</v>
      </c>
      <c r="E33">
        <v>0</v>
      </c>
      <c r="F33">
        <v>530</v>
      </c>
    </row>
    <row r="34" spans="1:6" x14ac:dyDescent="0.2">
      <c r="A34">
        <v>1992</v>
      </c>
      <c r="B34">
        <v>3116</v>
      </c>
      <c r="C34">
        <v>1</v>
      </c>
      <c r="D34">
        <v>120</v>
      </c>
      <c r="E34">
        <v>44</v>
      </c>
      <c r="F34">
        <v>372</v>
      </c>
    </row>
    <row r="35" spans="1:6" x14ac:dyDescent="0.2">
      <c r="A35">
        <v>1993</v>
      </c>
      <c r="B35">
        <v>1215</v>
      </c>
      <c r="C35">
        <v>0</v>
      </c>
      <c r="D35">
        <v>49</v>
      </c>
      <c r="E35">
        <v>28</v>
      </c>
      <c r="F35">
        <v>372</v>
      </c>
    </row>
    <row r="36" spans="1:6" x14ac:dyDescent="0.2">
      <c r="A36">
        <v>1994</v>
      </c>
      <c r="B36">
        <v>4182</v>
      </c>
      <c r="C36">
        <v>0</v>
      </c>
      <c r="D36">
        <v>32</v>
      </c>
      <c r="E36">
        <v>20</v>
      </c>
      <c r="F36">
        <v>403</v>
      </c>
    </row>
    <row r="37" spans="1:6" x14ac:dyDescent="0.2">
      <c r="A37">
        <v>1995</v>
      </c>
      <c r="B37">
        <v>14184</v>
      </c>
      <c r="C37">
        <v>13</v>
      </c>
      <c r="D37">
        <v>347</v>
      </c>
      <c r="E37">
        <v>53</v>
      </c>
      <c r="F37">
        <v>879</v>
      </c>
    </row>
    <row r="38" spans="1:6" x14ac:dyDescent="0.2">
      <c r="A38">
        <v>1996</v>
      </c>
      <c r="B38">
        <v>5514</v>
      </c>
      <c r="C38">
        <v>0</v>
      </c>
      <c r="D38">
        <v>165</v>
      </c>
      <c r="E38">
        <v>28</v>
      </c>
      <c r="F38">
        <v>419</v>
      </c>
    </row>
    <row r="39" spans="1:6" x14ac:dyDescent="0.2">
      <c r="A39">
        <v>1997</v>
      </c>
      <c r="B39">
        <v>11427</v>
      </c>
      <c r="C39">
        <v>0</v>
      </c>
      <c r="D39">
        <v>34</v>
      </c>
      <c r="E39">
        <v>26</v>
      </c>
      <c r="F39">
        <v>611</v>
      </c>
    </row>
    <row r="40" spans="1:6" x14ac:dyDescent="0.2">
      <c r="A40">
        <v>1998</v>
      </c>
      <c r="B40">
        <v>4925</v>
      </c>
      <c r="C40">
        <v>1</v>
      </c>
      <c r="D40">
        <v>145</v>
      </c>
      <c r="E40">
        <v>42</v>
      </c>
      <c r="F40">
        <v>358</v>
      </c>
    </row>
    <row r="41" spans="1:6" x14ac:dyDescent="0.2">
      <c r="A41">
        <v>1999</v>
      </c>
      <c r="B41">
        <v>5660</v>
      </c>
      <c r="C41">
        <v>0</v>
      </c>
      <c r="D41">
        <v>112</v>
      </c>
      <c r="E41">
        <v>21</v>
      </c>
      <c r="F41">
        <v>319</v>
      </c>
    </row>
    <row r="42" spans="1:6" x14ac:dyDescent="0.2">
      <c r="A42">
        <v>2000</v>
      </c>
      <c r="B42">
        <v>5103</v>
      </c>
      <c r="C42">
        <v>5</v>
      </c>
      <c r="D42">
        <v>130</v>
      </c>
      <c r="E42">
        <v>31</v>
      </c>
      <c r="F42">
        <v>307</v>
      </c>
    </row>
    <row r="43" spans="1:6" x14ac:dyDescent="0.2">
      <c r="A43">
        <v>2001</v>
      </c>
      <c r="B43">
        <v>2909</v>
      </c>
      <c r="C43">
        <v>8</v>
      </c>
      <c r="D43">
        <v>17</v>
      </c>
      <c r="E43">
        <v>45</v>
      </c>
      <c r="F43">
        <v>234</v>
      </c>
    </row>
    <row r="44" spans="1:6" x14ac:dyDescent="0.2">
      <c r="A44">
        <v>2002</v>
      </c>
      <c r="B44">
        <v>9525</v>
      </c>
      <c r="C44">
        <v>0</v>
      </c>
      <c r="D44">
        <v>1</v>
      </c>
      <c r="E44">
        <v>35</v>
      </c>
      <c r="F44">
        <v>270</v>
      </c>
    </row>
    <row r="45" spans="1:6" x14ac:dyDescent="0.2">
      <c r="A45">
        <v>2003</v>
      </c>
      <c r="B45">
        <v>47</v>
      </c>
      <c r="C45">
        <v>0</v>
      </c>
      <c r="D45">
        <v>0</v>
      </c>
      <c r="E45">
        <v>27</v>
      </c>
      <c r="F45">
        <v>271</v>
      </c>
    </row>
    <row r="46" spans="1:6" x14ac:dyDescent="0.2">
      <c r="A46">
        <v>2004</v>
      </c>
      <c r="B46">
        <v>2475</v>
      </c>
      <c r="C46">
        <v>0</v>
      </c>
      <c r="D46">
        <v>2</v>
      </c>
      <c r="E46">
        <v>21</v>
      </c>
      <c r="F46">
        <v>280</v>
      </c>
    </row>
    <row r="47" spans="1:6" x14ac:dyDescent="0.2">
      <c r="A47">
        <v>2005</v>
      </c>
      <c r="B47">
        <v>1196</v>
      </c>
      <c r="C47">
        <v>0</v>
      </c>
      <c r="D47">
        <v>0</v>
      </c>
      <c r="E47">
        <v>62</v>
      </c>
      <c r="F47">
        <v>171</v>
      </c>
    </row>
    <row r="48" spans="1:6" x14ac:dyDescent="0.2">
      <c r="A48">
        <v>2006</v>
      </c>
      <c r="B48">
        <v>701</v>
      </c>
      <c r="C48">
        <v>2</v>
      </c>
      <c r="D48">
        <v>3</v>
      </c>
      <c r="E48">
        <v>23</v>
      </c>
      <c r="F48">
        <v>248</v>
      </c>
    </row>
    <row r="49" spans="1:6" x14ac:dyDescent="0.2">
      <c r="A49">
        <v>2007</v>
      </c>
      <c r="B49">
        <v>134</v>
      </c>
      <c r="C49">
        <v>0</v>
      </c>
      <c r="D49">
        <v>0</v>
      </c>
      <c r="E49">
        <v>27</v>
      </c>
      <c r="F49">
        <v>199</v>
      </c>
    </row>
    <row r="50" spans="1:6" x14ac:dyDescent="0.2">
      <c r="A50">
        <v>2008</v>
      </c>
      <c r="B50">
        <v>2668</v>
      </c>
      <c r="C50">
        <v>0</v>
      </c>
      <c r="D50">
        <v>0</v>
      </c>
      <c r="E50">
        <v>28</v>
      </c>
      <c r="F50">
        <v>177</v>
      </c>
    </row>
    <row r="51" spans="1:6" x14ac:dyDescent="0.2">
      <c r="A51">
        <v>2009</v>
      </c>
      <c r="B51">
        <v>3454</v>
      </c>
      <c r="C51">
        <v>0</v>
      </c>
      <c r="D51">
        <v>20</v>
      </c>
      <c r="E51">
        <v>17</v>
      </c>
      <c r="F51">
        <v>200</v>
      </c>
    </row>
    <row r="52" spans="1:6" x14ac:dyDescent="0.2">
      <c r="A52">
        <v>2010</v>
      </c>
      <c r="B52">
        <v>1884</v>
      </c>
      <c r="C52">
        <v>0</v>
      </c>
      <c r="D52">
        <v>9</v>
      </c>
      <c r="E52">
        <v>24</v>
      </c>
      <c r="F52">
        <v>192</v>
      </c>
    </row>
    <row r="53" spans="1:6" x14ac:dyDescent="0.2">
      <c r="A53">
        <v>2011</v>
      </c>
      <c r="B53">
        <v>1614</v>
      </c>
      <c r="C53">
        <v>0</v>
      </c>
      <c r="D53">
        <v>11</v>
      </c>
      <c r="E53">
        <v>18</v>
      </c>
      <c r="F53">
        <v>235</v>
      </c>
    </row>
    <row r="54" spans="1:6" x14ac:dyDescent="0.2">
      <c r="A54">
        <v>2012</v>
      </c>
      <c r="B54">
        <v>536</v>
      </c>
      <c r="C54">
        <v>0</v>
      </c>
      <c r="D54">
        <v>1</v>
      </c>
      <c r="E54">
        <v>22</v>
      </c>
      <c r="F54">
        <v>459</v>
      </c>
    </row>
    <row r="55" spans="1:6" x14ac:dyDescent="0.2">
      <c r="A55">
        <v>2013</v>
      </c>
      <c r="B55">
        <v>17</v>
      </c>
      <c r="C55">
        <v>0</v>
      </c>
      <c r="D55">
        <v>5</v>
      </c>
      <c r="E55">
        <v>14</v>
      </c>
      <c r="F55">
        <v>285</v>
      </c>
    </row>
    <row r="56" spans="1:6" x14ac:dyDescent="0.2">
      <c r="A56">
        <v>2014</v>
      </c>
      <c r="B56">
        <v>3</v>
      </c>
      <c r="C56">
        <v>0</v>
      </c>
      <c r="D56">
        <v>12</v>
      </c>
      <c r="E56">
        <v>10</v>
      </c>
      <c r="F56">
        <v>239</v>
      </c>
    </row>
    <row r="57" spans="1:6" x14ac:dyDescent="0.2">
      <c r="A57">
        <v>2015</v>
      </c>
      <c r="B57">
        <v>11</v>
      </c>
      <c r="C57">
        <v>0</v>
      </c>
      <c r="D57">
        <v>0</v>
      </c>
      <c r="E57">
        <v>6</v>
      </c>
      <c r="F57">
        <v>227</v>
      </c>
    </row>
    <row r="58" spans="1:6" x14ac:dyDescent="0.2">
      <c r="A58">
        <v>2016</v>
      </c>
      <c r="B58">
        <v>655</v>
      </c>
      <c r="C58">
        <v>0</v>
      </c>
      <c r="D58">
        <v>3</v>
      </c>
      <c r="E58">
        <v>18</v>
      </c>
      <c r="F58">
        <v>296</v>
      </c>
    </row>
    <row r="59" spans="1:6" x14ac:dyDescent="0.2">
      <c r="A59">
        <v>2017</v>
      </c>
      <c r="B59">
        <v>114</v>
      </c>
      <c r="C59">
        <v>0</v>
      </c>
      <c r="D59">
        <v>0</v>
      </c>
      <c r="E59">
        <v>7</v>
      </c>
      <c r="F59">
        <v>114</v>
      </c>
    </row>
    <row r="60" spans="1:6" x14ac:dyDescent="0.2">
      <c r="A60">
        <v>2018</v>
      </c>
      <c r="B60">
        <v>2</v>
      </c>
      <c r="C60">
        <v>0</v>
      </c>
      <c r="D60">
        <v>0</v>
      </c>
      <c r="E60">
        <v>0</v>
      </c>
      <c r="F60">
        <v>39</v>
      </c>
    </row>
    <row r="61" spans="1:6" x14ac:dyDescent="0.2">
      <c r="A61">
        <v>2019</v>
      </c>
      <c r="B61">
        <v>1</v>
      </c>
      <c r="C61">
        <v>0</v>
      </c>
      <c r="D61">
        <v>0</v>
      </c>
      <c r="E61">
        <v>0</v>
      </c>
      <c r="F61">
        <v>96</v>
      </c>
    </row>
    <row r="62" spans="1:6" x14ac:dyDescent="0.2">
      <c r="A62">
        <v>2020</v>
      </c>
      <c r="B62">
        <v>0</v>
      </c>
      <c r="C62">
        <v>0</v>
      </c>
      <c r="D62">
        <v>0</v>
      </c>
      <c r="E62">
        <v>0</v>
      </c>
      <c r="F62">
        <v>71</v>
      </c>
    </row>
    <row r="63" spans="1:6" x14ac:dyDescent="0.2">
      <c r="A63">
        <v>2021</v>
      </c>
      <c r="B63">
        <v>0</v>
      </c>
      <c r="C63">
        <v>0</v>
      </c>
      <c r="D63">
        <v>0</v>
      </c>
      <c r="E63">
        <v>0</v>
      </c>
      <c r="F63">
        <v>97</v>
      </c>
    </row>
    <row r="64" spans="1:6" x14ac:dyDescent="0.2">
      <c r="A64">
        <v>2022</v>
      </c>
      <c r="B64">
        <v>0</v>
      </c>
      <c r="C64">
        <v>0</v>
      </c>
      <c r="D64">
        <v>0</v>
      </c>
      <c r="E64">
        <v>0</v>
      </c>
      <c r="F64">
        <v>93</v>
      </c>
    </row>
    <row r="65" spans="1:6" x14ac:dyDescent="0.2">
      <c r="A65">
        <v>2023</v>
      </c>
      <c r="B65">
        <v>0</v>
      </c>
      <c r="C65">
        <v>0</v>
      </c>
      <c r="D65">
        <v>0</v>
      </c>
      <c r="E65">
        <v>0</v>
      </c>
      <c r="F65">
        <v>81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002CE-2636-481F-9B08-012D00BE5BED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stikine CN RR</vt:lpstr>
      <vt:lpstr>stikine CN D108 catch</vt:lpstr>
      <vt:lpstr>stikine CN D108 prop</vt:lpstr>
      <vt:lpstr>B1 106 harvest</vt:lpstr>
      <vt:lpstr>B2 108 harvest</vt:lpstr>
      <vt:lpstr>B21 Stikine SX</vt:lpstr>
      <vt:lpstr>D108 D111 CN GSI 15 16 17</vt:lpstr>
      <vt:lpstr>D5 Taku CN RR</vt:lpstr>
      <vt:lpstr>G1 G2 G4 CN GSI D108 D111</vt:lpstr>
      <vt:lpstr>D1 111 harvest</vt:lpstr>
      <vt:lpstr>D20 Taku CO</vt:lpstr>
      <vt:lpstr>D19 D111 CO Catch</vt:lpstr>
      <vt:lpstr>D7 D111 SX catch</vt:lpstr>
      <vt:lpstr>D15 TAKU SX RR</vt:lpstr>
      <vt:lpstr>D9 D111 SX TAKU GSI</vt:lpstr>
      <vt:lpstr>E4 ALSEK CN</vt:lpstr>
      <vt:lpstr>E9 ALSEK SX</vt:lpstr>
      <vt:lpstr>ALSEK CO PK CM catch</vt:lpstr>
      <vt:lpstr>E14 ALSEK SEAK CO PK CM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Rosenberger</dc:creator>
  <cp:lastModifiedBy>Elizabeth Hirsch</cp:lastModifiedBy>
  <dcterms:created xsi:type="dcterms:W3CDTF">2022-02-10T06:54:51Z</dcterms:created>
  <dcterms:modified xsi:type="dcterms:W3CDTF">2026-01-28T23:31:20Z</dcterms:modified>
</cp:coreProperties>
</file>